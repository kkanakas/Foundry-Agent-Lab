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office.accenture.com/personal/kartik_kanakasabesan_accenture_com/Documents/"/>
    </mc:Choice>
  </mc:AlternateContent>
  <xr:revisionPtr revIDLastSave="195" documentId="13_ncr:1_{5D2268F2-298C-4CCD-AEA6-09427B283776}" xr6:coauthVersionLast="47" xr6:coauthVersionMax="47" xr10:uidLastSave="{8F332913-AEED-2948-B7AF-D5A78714B22F}"/>
  <bookViews>
    <workbookView xWindow="0" yWindow="660" windowWidth="30240" windowHeight="17760" activeTab="1" xr2:uid="{4EC481E1-CDBA-4E3C-AD2C-A2656C4292E4}"/>
  </bookViews>
  <sheets>
    <sheet name="Sheet1" sheetId="1" r:id="rId1"/>
    <sheet name="CRM Dashboard" sheetId="2" r:id="rId2"/>
    <sheet name="CRM Data" sheetId="3" r:id="rId3"/>
    <sheet name="Chart Data" sheetId="4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" i="4" l="1"/>
  <c r="K4" i="4"/>
  <c r="K3" i="4"/>
  <c r="K2" i="4"/>
  <c r="H6" i="4"/>
  <c r="H5" i="4"/>
  <c r="H4" i="4"/>
  <c r="H3" i="4"/>
  <c r="H2" i="4"/>
  <c r="E13" i="4"/>
  <c r="E12" i="4"/>
  <c r="E11" i="4"/>
  <c r="E10" i="4"/>
  <c r="E9" i="4"/>
  <c r="E8" i="4"/>
  <c r="E7" i="4"/>
  <c r="E6" i="4"/>
  <c r="E5" i="4"/>
  <c r="E4" i="4"/>
  <c r="E3" i="4"/>
  <c r="E2" i="4"/>
  <c r="B7" i="4"/>
  <c r="B6" i="4"/>
  <c r="B5" i="4"/>
  <c r="B4" i="4"/>
  <c r="B3" i="4"/>
  <c r="B2" i="4"/>
  <c r="M5" i="2"/>
  <c r="J5" i="2"/>
  <c r="G5" i="2"/>
  <c r="D5" i="2"/>
  <c r="A5" i="2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</calcChain>
</file>

<file path=xl/sharedStrings.xml><?xml version="1.0" encoding="utf-8"?>
<sst xmlns="http://schemas.openxmlformats.org/spreadsheetml/2006/main" count="598" uniqueCount="146">
  <si>
    <t>draw.io Diagrams</t>
  </si>
  <si>
    <t>Launch the add-in</t>
  </si>
  <si>
    <t>After you install the add-in, you can launch it by choosing the add-in button on the Insert tab</t>
  </si>
  <si>
    <t>On the Insert tab</t>
  </si>
  <si>
    <t>Need more help?</t>
  </si>
  <si>
    <t>Return to your internet browser or copy this link into your browser:</t>
  </si>
  <si>
    <t>https://pages.store.office.com/addinsinstallpage.aspx?rs=en-001&amp;assetid=WA200000113&amp;isWac=True&amp;ui=en-US&amp;ad=US</t>
  </si>
  <si>
    <t>Try this add-in in Word or PowerPoint</t>
  </si>
  <si>
    <t>Return to your internet browser or use the previous link and select your preferred application</t>
  </si>
  <si>
    <t>Opportunity ID</t>
  </si>
  <si>
    <t>Account</t>
  </si>
  <si>
    <t>Opportunity</t>
  </si>
  <si>
    <t>Owner</t>
  </si>
  <si>
    <t>Region</t>
  </si>
  <si>
    <t>Product</t>
  </si>
  <si>
    <t>Stage</t>
  </si>
  <si>
    <t>Status</t>
  </si>
  <si>
    <t>Created Date</t>
  </si>
  <si>
    <t>Close Date</t>
  </si>
  <si>
    <t>Amount</t>
  </si>
  <si>
    <t>Probability</t>
  </si>
  <si>
    <t>Weighted Value</t>
  </si>
  <si>
    <t>Next Step</t>
  </si>
  <si>
    <t>OPP-1001</t>
  </si>
  <si>
    <t>Northwind Health</t>
  </si>
  <si>
    <t>CRM Enterprise - Expansion</t>
  </si>
  <si>
    <t>Maya Chen</t>
  </si>
  <si>
    <t>West</t>
  </si>
  <si>
    <t>CRM Enterprise</t>
  </si>
  <si>
    <t>Prospecting</t>
  </si>
  <si>
    <t>Open</t>
  </si>
  <si>
    <t>Deliver proposal</t>
  </si>
  <si>
    <t>OPP-1002</t>
  </si>
  <si>
    <t>Litware Financial</t>
  </si>
  <si>
    <t>Analytics Cloud - Transformation</t>
  </si>
  <si>
    <t>Jordan Lee</t>
  </si>
  <si>
    <t>Canada</t>
  </si>
  <si>
    <t>Analytics Cloud</t>
  </si>
  <si>
    <t>Qualification</t>
  </si>
  <si>
    <t>Executive review</t>
  </si>
  <si>
    <t>OPP-1003</t>
  </si>
  <si>
    <t>Proseware Media</t>
  </si>
  <si>
    <t>Service Automation - Modernization</t>
  </si>
  <si>
    <t>Priya Nair</t>
  </si>
  <si>
    <t>East</t>
  </si>
  <si>
    <t>Service Automation</t>
  </si>
  <si>
    <t>Proposal</t>
  </si>
  <si>
    <t>Discovery call</t>
  </si>
  <si>
    <t>OPP-1004</t>
  </si>
  <si>
    <t>Wide World Importers</t>
  </si>
  <si>
    <t>AI Sales Assistant - Pilot</t>
  </si>
  <si>
    <t>Ethan Brooks</t>
  </si>
  <si>
    <t>Central</t>
  </si>
  <si>
    <t>AI Sales Assistant</t>
  </si>
  <si>
    <t>Negotiation</t>
  </si>
  <si>
    <t>Confirm business case</t>
  </si>
  <si>
    <t>OPP-1005</t>
  </si>
  <si>
    <t>Sofia Martinez</t>
  </si>
  <si>
    <t>Closed Won</t>
  </si>
  <si>
    <t>Won</t>
  </si>
  <si>
    <t>Customer kickoff</t>
  </si>
  <si>
    <t>OPP-1006</t>
  </si>
  <si>
    <t>Contoso Retail</t>
  </si>
  <si>
    <t>Closed Lost</t>
  </si>
  <si>
    <t>Lost</t>
  </si>
  <si>
    <t>Capture loss reason</t>
  </si>
  <si>
    <t>OPP-1007</t>
  </si>
  <si>
    <t>Woodgrove Bank</t>
  </si>
  <si>
    <t>OPP-1008</t>
  </si>
  <si>
    <t>Alpine Ski House</t>
  </si>
  <si>
    <t>OPP-1009</t>
  </si>
  <si>
    <t>OPP-1010</t>
  </si>
  <si>
    <t>Humongous Insurance</t>
  </si>
  <si>
    <t>OPP-1011</t>
  </si>
  <si>
    <t>Fabrikam Energy</t>
  </si>
  <si>
    <t>OPP-1012</t>
  </si>
  <si>
    <t>Tailspin Toys</t>
  </si>
  <si>
    <t>OPP-1013</t>
  </si>
  <si>
    <t>OPP-1014</t>
  </si>
  <si>
    <t>Fourth Coffee</t>
  </si>
  <si>
    <t>OPP-1015</t>
  </si>
  <si>
    <t>Consolidated Messenger</t>
  </si>
  <si>
    <t>OPP-1016</t>
  </si>
  <si>
    <t>Adventure Works</t>
  </si>
  <si>
    <t>OPP-1017</t>
  </si>
  <si>
    <t>OPP-1018</t>
  </si>
  <si>
    <t>Blue Yonder Air</t>
  </si>
  <si>
    <t>OPP-1019</t>
  </si>
  <si>
    <t>City Power &amp; Light</t>
  </si>
  <si>
    <t>OPP-1020</t>
  </si>
  <si>
    <t>OPP-1021</t>
  </si>
  <si>
    <t>OPP-1022</t>
  </si>
  <si>
    <t>OPP-1023</t>
  </si>
  <si>
    <t>OPP-1024</t>
  </si>
  <si>
    <t>OPP-1025</t>
  </si>
  <si>
    <t>OPP-1026</t>
  </si>
  <si>
    <t>OPP-1027</t>
  </si>
  <si>
    <t>OPP-1028</t>
  </si>
  <si>
    <t>OPP-1029</t>
  </si>
  <si>
    <t>OPP-1030</t>
  </si>
  <si>
    <t>OPP-1031</t>
  </si>
  <si>
    <t>OPP-1032</t>
  </si>
  <si>
    <t>OPP-1033</t>
  </si>
  <si>
    <t>OPP-1034</t>
  </si>
  <si>
    <t>OPP-1035</t>
  </si>
  <si>
    <t>OPP-1036</t>
  </si>
  <si>
    <t>OPP-1037</t>
  </si>
  <si>
    <t>OPP-1038</t>
  </si>
  <si>
    <t>OPP-1039</t>
  </si>
  <si>
    <t>OPP-1040</t>
  </si>
  <si>
    <t>OPP-1041</t>
  </si>
  <si>
    <t>OPP-1042</t>
  </si>
  <si>
    <t>OPP-1043</t>
  </si>
  <si>
    <t>OPP-1044</t>
  </si>
  <si>
    <t>OPP-1045</t>
  </si>
  <si>
    <t>OPP-1046</t>
  </si>
  <si>
    <t>OPP-1047</t>
  </si>
  <si>
    <t>OPP-1048</t>
  </si>
  <si>
    <t>OPP-1049</t>
  </si>
  <si>
    <t>OPP-1050</t>
  </si>
  <si>
    <t>OPP-1051</t>
  </si>
  <si>
    <t>OPP-1052</t>
  </si>
  <si>
    <t>OPP-1053</t>
  </si>
  <si>
    <t>OPP-1054</t>
  </si>
  <si>
    <t>OPP-1055</t>
  </si>
  <si>
    <t>OPP-1056</t>
  </si>
  <si>
    <t>OPP-1057</t>
  </si>
  <si>
    <t>OPP-1058</t>
  </si>
  <si>
    <t>OPP-1059</t>
  </si>
  <si>
    <t>OPP-1060</t>
  </si>
  <si>
    <t>CRM SALES COMMAND CENTER</t>
  </si>
  <si>
    <t>CLOSED WON REVENUE</t>
  </si>
  <si>
    <t>OPEN PIPELINE</t>
  </si>
  <si>
    <t>WEIGHTED PIPELINE</t>
  </si>
  <si>
    <t>WIN RATE</t>
  </si>
  <si>
    <t>OPEN DEALS</t>
  </si>
  <si>
    <t>PIPELINE BY STAGE</t>
  </si>
  <si>
    <t>2026 CLOSED-WON TREND</t>
  </si>
  <si>
    <t>OPEN PIPELINE BY OWNER</t>
  </si>
  <si>
    <t>OPEN PIPELINE BY PRODUCT</t>
  </si>
  <si>
    <t>DEMO TALK TRACK</t>
  </si>
  <si>
    <t>Start with pipeline health and win rate, then drill into stage conversion, owner coverage, product mix, and the monthly closed-won trend. Use the CRM Data tab to demonstrate sorting, filtering, and opportunity-level detail.</t>
  </si>
  <si>
    <t>Pipeline</t>
  </si>
  <si>
    <t>Month</t>
  </si>
  <si>
    <t>Won Revenue</t>
  </si>
  <si>
    <t>Open 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</si>
</sst>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\,\ yyyy"/>
    <numFmt numFmtId="165" formatCode="&quot;$&quot;#,##0"/>
    <numFmt numFmtId="166" formatCode="mmm\ yyyy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sz val="24"/>
      <color theme="1"/>
      <name val="Segoe UI Light"/>
      <family val="2"/>
    </font>
    <font>
      <sz val="18"/>
      <color theme="1"/>
      <name val="Segoe UI Light"/>
      <family val="2"/>
    </font>
    <font>
      <sz val="12"/>
      <color theme="1"/>
      <name val="Segoe UI Semibold"/>
      <family val="2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Aptos"/>
    </font>
    <font>
      <sz val="11"/>
      <color theme="1"/>
      <name val="Aptos"/>
    </font>
    <font>
      <b/>
      <sz val="22"/>
      <color rgb="FFFFFFFF"/>
      <name val="Calibri"/>
      <family val="2"/>
      <scheme val="minor"/>
    </font>
    <font>
      <b/>
      <sz val="9"/>
      <color rgb="FF486581"/>
      <name val="Aptos"/>
    </font>
    <font>
      <b/>
      <sz val="20"/>
      <color rgb="FF102A43"/>
      <name val="Calibri"/>
      <family val="2"/>
      <scheme val="minor"/>
    </font>
    <font>
      <b/>
      <sz val="12"/>
      <color rgb="FF102A43"/>
      <name val="Calibri"/>
      <family val="2"/>
      <scheme val="minor"/>
    </font>
    <font>
      <sz val="11"/>
      <color rgb="FF334E6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102A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80E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1" fillId="0" borderId="0" xfId="0" applyFont="1"/>
    <xf numFmtId="0" fontId="5" fillId="0" borderId="0" xfId="1" applyAlignment="1"/>
    <xf numFmtId="0" fontId="2" fillId="0" borderId="0" xfId="0" applyFont="1"/>
    <xf numFmtId="0" fontId="4" fillId="0" borderId="0" xfId="0" applyFont="1"/>
    <xf numFmtId="165" fontId="0" fillId="0" borderId="0" xfId="0" applyNumberFormat="1"/>
    <xf numFmtId="0" fontId="7" fillId="2" borderId="0" xfId="0" applyFont="1" applyFill="1"/>
    <xf numFmtId="0" fontId="8" fillId="0" borderId="0" xfId="0" applyFont="1"/>
    <xf numFmtId="164" fontId="8" fillId="0" borderId="0" xfId="0" applyNumberFormat="1" applyFont="1"/>
    <xf numFmtId="165" fontId="8" fillId="0" borderId="0" xfId="0" applyNumberFormat="1" applyFont="1"/>
    <xf numFmtId="9" fontId="8" fillId="0" borderId="0" xfId="0" applyNumberFormat="1" applyFont="1"/>
    <xf numFmtId="0" fontId="8" fillId="3" borderId="0" xfId="0" applyFont="1" applyFill="1"/>
    <xf numFmtId="0" fontId="0" fillId="0" borderId="0" xfId="0"/>
    <xf numFmtId="0" fontId="9" fillId="4" borderId="0" xfId="0" applyFont="1" applyFill="1" applyAlignment="1">
      <alignment horizontal="left" vertical="center"/>
    </xf>
    <xf numFmtId="0" fontId="10" fillId="3" borderId="0" xfId="0" applyFont="1" applyFill="1"/>
    <xf numFmtId="165" fontId="11" fillId="5" borderId="0" xfId="0" applyNumberFormat="1" applyFont="1" applyFill="1" applyAlignment="1">
      <alignment horizontal="center" vertical="center"/>
    </xf>
    <xf numFmtId="9" fontId="11" fillId="5" borderId="0" xfId="0" applyNumberFormat="1" applyFont="1" applyFill="1" applyAlignment="1">
      <alignment horizontal="center" vertical="center"/>
    </xf>
    <xf numFmtId="1" fontId="11" fillId="5" borderId="0" xfId="0" applyNumberFormat="1" applyFont="1" applyFill="1" applyAlignment="1">
      <alignment horizontal="center" vertical="center"/>
    </xf>
    <xf numFmtId="0" fontId="12" fillId="0" borderId="0" xfId="0" applyFont="1"/>
    <xf numFmtId="0" fontId="6" fillId="6" borderId="0" xfId="0" applyFont="1" applyFill="1"/>
    <xf numFmtId="0" fontId="0" fillId="6" borderId="0" xfId="0" applyFill="1"/>
    <xf numFmtId="0" fontId="13" fillId="5" borderId="0" xfId="0" applyFont="1" applyFill="1" applyAlignment="1">
      <alignment vertical="center" wrapText="1"/>
    </xf>
    <xf numFmtId="166" fontId="0" fillId="0" borderId="0" xfId="0" applyNumberFormat="1"/>
  </cellXfs>
  <cellStyles count="2">
    <cellStyle name="Hyperlink" xfId="1" builtinId="8"/>
    <cellStyle name="Normal" xfId="0" builtinId="0"/>
  </cellStyles>
  <dxfs count="16">
    <dxf>
      <font>
        <name val="Aptos"/>
      </font>
    </dxf>
    <dxf>
      <font>
        <b/>
        <color rgb="FFFFFFFF"/>
        <name val="Aptos"/>
      </font>
      <fill>
        <patternFill patternType="solid">
          <fgColor indexed="64"/>
          <bgColor rgb="FF17365D"/>
        </patternFill>
      </fill>
    </dxf>
    <dxf>
      <font>
        <name val="Aptos"/>
      </font>
    </dxf>
    <dxf>
      <font>
        <name val="Aptos"/>
      </font>
      <numFmt numFmtId="165" formatCode="&quot;$&quot;#,##0"/>
    </dxf>
    <dxf>
      <font>
        <name val="Aptos"/>
      </font>
      <numFmt numFmtId="13" formatCode="0%"/>
    </dxf>
    <dxf>
      <font>
        <name val="Aptos"/>
      </font>
      <numFmt numFmtId="165" formatCode="&quot;$&quot;#,##0"/>
    </dxf>
    <dxf>
      <font>
        <name val="Aptos"/>
      </font>
      <numFmt numFmtId="164" formatCode="mmm\ d\,\ yyyy"/>
    </dxf>
    <dxf>
      <font>
        <name val="Aptos"/>
      </font>
      <numFmt numFmtId="164" formatCode="mmm\ d\,\ yyyy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Pipeline Value</c:v>
          </c:tx>
          <c:spPr>
            <a:solidFill>
              <a:srgbClr val="2F80ED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Data'!$A$2:$A$7</c:f>
              <c:strCache>
                <c:ptCount val="6"/>
                <c:pt idx="0">
                  <c:v>Prospecting</c:v>
                </c:pt>
                <c:pt idx="1">
                  <c:v>Qualification</c:v>
                </c:pt>
                <c:pt idx="2">
                  <c:v>Proposal</c:v>
                </c:pt>
                <c:pt idx="3">
                  <c:v>Negotiation</c:v>
                </c:pt>
                <c:pt idx="4">
                  <c:v>Closed Won</c:v>
                </c:pt>
                <c:pt idx="5">
                  <c:v>Closed Lost</c:v>
                </c:pt>
              </c:strCache>
            </c:strRef>
          </c:cat>
          <c:val>
            <c:numRef>
              <c:f>'Chart Data'!$B$2:$B$7</c:f>
              <c:numCache>
                <c:formatCode>"$"#,##0</c:formatCode>
                <c:ptCount val="6"/>
                <c:pt idx="0">
                  <c:v>1971400</c:v>
                </c:pt>
                <c:pt idx="1">
                  <c:v>2151200</c:v>
                </c:pt>
                <c:pt idx="2">
                  <c:v>1605900</c:v>
                </c:pt>
                <c:pt idx="3">
                  <c:v>2058900</c:v>
                </c:pt>
                <c:pt idx="4">
                  <c:v>2212800</c:v>
                </c:pt>
                <c:pt idx="5">
                  <c:v>1292800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D9-0046-8900-03B50E265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786432"/>
        <c:axId val="1691195968"/>
      </c:barChart>
      <c:catAx>
        <c:axId val="158078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195968"/>
        <c:crosses val="autoZero"/>
        <c:auto val="1"/>
        <c:lblAlgn val="ctr"/>
        <c:lblOffset val="100"/>
        <c:noMultiLvlLbl val="0"/>
      </c:catAx>
      <c:valAx>
        <c:axId val="16911959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8643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Closed Won Revenue</c:v>
          </c:tx>
          <c:spPr>
            <a:ln w="28575" cap="rnd" cmpd="sng" algn="ctr">
              <a:solidFill>
                <a:srgbClr val="00A6A6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'Chart Data'!$D$2:$D$13</c:f>
              <c:numCache>
                <c:formatCode>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'Chart Data'!$E$2:$E$13</c:f>
              <c:numCache>
                <c:formatCode>"$"#,##0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267400</c:v>
                </c:pt>
                <c:pt idx="4">
                  <c:v>332200</c:v>
                </c:pt>
                <c:pt idx="5">
                  <c:v>0</c:v>
                </c:pt>
                <c:pt idx="6">
                  <c:v>421100</c:v>
                </c:pt>
                <c:pt idx="7">
                  <c:v>440400</c:v>
                </c:pt>
                <c:pt idx="8">
                  <c:v>352300</c:v>
                </c:pt>
                <c:pt idx="9">
                  <c:v>0</c:v>
                </c:pt>
                <c:pt idx="10">
                  <c:v>399400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4-C942-8B9E-3644839E6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0812480"/>
        <c:axId val="1580777920"/>
      </c:lineChart>
      <c:dateAx>
        <c:axId val="1580812480"/>
        <c:scaling>
          <c:orientation val="minMax"/>
        </c:scaling>
        <c:delete val="0"/>
        <c:axPos val="b"/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77920"/>
        <c:crosses val="autoZero"/>
        <c:auto val="0"/>
        <c:lblOffset val="100"/>
        <c:baseTimeUnit val="months"/>
        <c:majorUnit val="2"/>
        <c:majorTimeUnit val="months"/>
      </c:dateAx>
      <c:valAx>
        <c:axId val="15807779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81248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Open Pipeline</c:v>
          </c:tx>
          <c:spPr>
            <a:solidFill>
              <a:srgbClr val="6C63FF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Data'!$G$2:$G$6</c:f>
              <c:strCache>
                <c:ptCount val="5"/>
                <c:pt idx="0">
                  <c:v>Maya Chen</c:v>
                </c:pt>
                <c:pt idx="1">
                  <c:v>Jordan Lee</c:v>
                </c:pt>
                <c:pt idx="2">
                  <c:v>Priya Nair</c:v>
                </c:pt>
                <c:pt idx="3">
                  <c:v>Ethan Brooks</c:v>
                </c:pt>
                <c:pt idx="4">
                  <c:v>Sofia Martinez</c:v>
                </c:pt>
              </c:strCache>
            </c:strRef>
          </c:cat>
          <c:val>
            <c:numRef>
              <c:f>'Chart Data'!$H$2:$H$6</c:f>
              <c:numCache>
                <c:formatCode>"$"#,##0</c:formatCode>
                <c:ptCount val="5"/>
                <c:pt idx="0">
                  <c:v>1207500</c:v>
                </c:pt>
                <c:pt idx="1">
                  <c:v>1454800</c:v>
                </c:pt>
                <c:pt idx="2">
                  <c:v>1362100</c:v>
                </c:pt>
                <c:pt idx="3">
                  <c:v>1904500</c:v>
                </c:pt>
                <c:pt idx="4">
                  <c:v>1858500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9-A14F-AFF8-45A3B4AE9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9337152"/>
        <c:axId val="1539331328"/>
      </c:barChart>
      <c:catAx>
        <c:axId val="1539337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331328"/>
        <c:crosses val="autoZero"/>
        <c:auto val="1"/>
        <c:lblAlgn val="ctr"/>
        <c:lblOffset val="100"/>
        <c:noMultiLvlLbl val="0"/>
      </c:catAx>
      <c:valAx>
        <c:axId val="1539331328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33715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Open Pipeline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Data'!$J$2:$J$5</c:f>
              <c:strCache>
                <c:ptCount val="4"/>
                <c:pt idx="0">
                  <c:v>CRM Enterprise</c:v>
                </c:pt>
                <c:pt idx="1">
                  <c:v>Analytics Cloud</c:v>
                </c:pt>
                <c:pt idx="2">
                  <c:v>Service Automation</c:v>
                </c:pt>
                <c:pt idx="3">
                  <c:v>AI Sales Assistant</c:v>
                </c:pt>
              </c:strCache>
            </c:strRef>
          </c:cat>
          <c:val>
            <c:numRef>
              <c:f>'Chart Data'!$K$2:$K$5</c:f>
              <c:numCache>
                <c:formatCode>"$"#,##0</c:formatCode>
                <c:ptCount val="4"/>
                <c:pt idx="0">
                  <c:v>2105700</c:v>
                </c:pt>
                <c:pt idx="1">
                  <c:v>1545800</c:v>
                </c:pt>
                <c:pt idx="2">
                  <c:v>2218600</c:v>
                </c:pt>
                <c:pt idx="3">
                  <c:v>1917300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C-E544-A6BD-E2FD9FDE2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77671</xdr:colOff>
      <xdr:row>2</xdr:row>
      <xdr:rowOff>31750</xdr:rowOff>
    </xdr:from>
    <xdr:to>
      <xdr:col>1</xdr:col>
      <xdr:colOff>356436</xdr:colOff>
      <xdr:row>2</xdr:row>
      <xdr:rowOff>310515</xdr:rowOff>
    </xdr:to>
    <xdr:pic>
      <xdr:nvPicPr>
        <xdr:cNvPr id="2" name="Add-in_Icon" descr="Icon for draw.io Diagrams.">
          <a:extLst>
            <a:ext uri="{FF2B5EF4-FFF2-40B4-BE49-F238E27FC236}">
              <a16:creationId xmlns:a16="http://schemas.microsoft.com/office/drawing/2014/main" id="{67F6C34B-C2D4-460C-A0C1-686720FEB7F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87271" y="400050"/>
          <a:ext cx="278765" cy="27876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11</xdr:col>
      <xdr:colOff>6350</xdr:colOff>
      <xdr:row>21</xdr:row>
      <xdr:rowOff>76750</xdr:rowOff>
    </xdr:to>
    <xdr:pic>
      <xdr:nvPicPr>
        <xdr:cNvPr id="3" name="LaunchHelpImage" descr="Office ribbon open on the Insert tab.">
          <a:extLst>
            <a:ext uri="{FF2B5EF4-FFF2-40B4-BE49-F238E27FC236}">
              <a16:creationId xmlns:a16="http://schemas.microsoft.com/office/drawing/2014/main" id="{02DEC36A-B0A2-46F3-8595-D3467AEAB7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324100"/>
          <a:ext cx="5943600" cy="2102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8</xdr:col>
      <xdr:colOff>394475</xdr:colOff>
      <xdr:row>17</xdr:row>
      <xdr:rowOff>126226</xdr:rowOff>
    </xdr:from>
    <xdr:to>
      <xdr:col>10</xdr:col>
      <xdr:colOff>83991</xdr:colOff>
      <xdr:row>19</xdr:row>
      <xdr:rowOff>70594</xdr:rowOff>
    </xdr:to>
    <xdr:sp macro="" textlink="">
      <xdr:nvSpPr>
        <xdr:cNvPr id="6" name="GroupName">
          <a:extLst>
            <a:ext uri="{FF2B5EF4-FFF2-40B4-BE49-F238E27FC236}">
              <a16:creationId xmlns:a16="http://schemas.microsoft.com/office/drawing/2014/main" id="{D077EBEA-75FD-4617-B4FD-F01577979140}"/>
            </a:ext>
          </a:extLst>
        </xdr:cNvPr>
        <xdr:cNvSpPr txBox="1"/>
      </xdr:nvSpPr>
      <xdr:spPr>
        <a:xfrm>
          <a:off x="5112525" y="3739376"/>
          <a:ext cx="908716" cy="312668"/>
        </a:xfrm>
        <a:prstGeom prst="rect">
          <a:avLst/>
        </a:prstGeom>
        <a:noFill/>
      </xdr:spPr>
      <xdr:txBody>
        <a:bodyPr wrap="square" lIns="0" tIns="0" rIns="0" bIns="0" rtlCol="0" anchor="ctr" anchorCtr="0">
          <a:noAutofit/>
        </a:bodyPr>
        <a:lstStyle/>
        <a:p>
          <a:pPr algn="ctr">
            <a:lnSpc>
              <a:spcPct val="106000"/>
            </a:lnSpc>
            <a:spcAft>
              <a:spcPts val="0"/>
            </a:spcAft>
          </a:pPr>
          <a:r>
            <a:rPr lang="en-GB" sz="800" kern="1200">
              <a:solidFill>
                <a:srgbClr val="404040"/>
              </a:solidFill>
              <a:effectLst/>
              <a:latin typeface="Segoe UI" panose="020B0502040204020203" pitchFamily="34" charset="0"/>
              <a:ea typeface="Times New Roman" panose="02020603050405020304" pitchFamily="18" charset="0"/>
              <a:cs typeface="Segoe UI" panose="020B0502040204020203" pitchFamily="34" charset="0"/>
            </a:rPr>
            <a:t>draw.io</a:t>
          </a:r>
          <a:endParaRPr lang="en-IE" sz="1200">
            <a:effectLst/>
            <a:latin typeface="Segoe UI" panose="020B0502040204020203" pitchFamily="34" charset="0"/>
            <a:ea typeface="Times New Roman" panose="02020603050405020304" pitchFamily="18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9</xdr:col>
      <xdr:colOff>6954</xdr:colOff>
      <xdr:row>13</xdr:row>
      <xdr:rowOff>48620</xdr:rowOff>
    </xdr:from>
    <xdr:to>
      <xdr:col>9</xdr:col>
      <xdr:colOff>470685</xdr:colOff>
      <xdr:row>15</xdr:row>
      <xdr:rowOff>144051</xdr:rowOff>
    </xdr:to>
    <xdr:pic>
      <xdr:nvPicPr>
        <xdr:cNvPr id="4" name="CommandButton" descr="Command button for draw.io Diagrams.">
          <a:extLst>
            <a:ext uri="{FF2B5EF4-FFF2-40B4-BE49-F238E27FC236}">
              <a16:creationId xmlns:a16="http://schemas.microsoft.com/office/drawing/2014/main" id="{F7538F44-5853-4365-97A7-B1DC61842506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 bwMode="auto">
        <a:xfrm>
          <a:off x="5334604" y="2925170"/>
          <a:ext cx="463731" cy="463731"/>
        </a:xfrm>
        <a:prstGeom prst="rect">
          <a:avLst/>
        </a:prstGeom>
        <a:noFill/>
      </xdr:spPr>
    </xdr:pic>
    <xdr:clientData/>
  </xdr:twoCellAnchor>
  <xdr:twoCellAnchor>
    <xdr:from>
      <xdr:col>2</xdr:col>
      <xdr:colOff>324257</xdr:colOff>
      <xdr:row>11</xdr:row>
      <xdr:rowOff>99815</xdr:rowOff>
    </xdr:from>
    <xdr:to>
      <xdr:col>4</xdr:col>
      <xdr:colOff>228600</xdr:colOff>
      <xdr:row>13</xdr:row>
      <xdr:rowOff>59354</xdr:rowOff>
    </xdr:to>
    <xdr:sp macro="" textlink="">
      <xdr:nvSpPr>
        <xdr:cNvPr id="5" name="TabName">
          <a:extLst>
            <a:ext uri="{FF2B5EF4-FFF2-40B4-BE49-F238E27FC236}">
              <a16:creationId xmlns:a16="http://schemas.microsoft.com/office/drawing/2014/main" id="{2AF44549-ABB0-481D-92C6-9C06DD7E5AB6}"/>
            </a:ext>
          </a:extLst>
        </xdr:cNvPr>
        <xdr:cNvSpPr txBox="1"/>
      </xdr:nvSpPr>
      <xdr:spPr>
        <a:xfrm>
          <a:off x="1384707" y="2608065"/>
          <a:ext cx="1123543" cy="327839"/>
        </a:xfrm>
        <a:prstGeom prst="rect">
          <a:avLst/>
        </a:prstGeom>
        <a:noFill/>
      </xdr:spPr>
      <xdr:txBody>
        <a:bodyPr wrap="square" lIns="0" tIns="0" rIns="0" bIns="0" rtlCol="0" anchor="ctr" anchorCtr="0">
          <a:noAutofit/>
        </a:bodyPr>
        <a:lstStyle/>
        <a:p>
          <a:pPr algn="ctr">
            <a:lnSpc>
              <a:spcPct val="105000"/>
            </a:lnSpc>
            <a:spcAft>
              <a:spcPts val="0"/>
            </a:spcAft>
          </a:pPr>
          <a:r>
            <a:rPr lang="en-GB" sz="1000" kern="1200">
              <a:solidFill>
                <a:srgbClr val="217346"/>
              </a:solidFill>
              <a:effectLst/>
              <a:latin typeface="Segoe UI Semibold" panose="020B0702040204020203" pitchFamily="34" charset="0"/>
              <a:ea typeface="Times New Roman" panose="02020603050405020304" pitchFamily="18" charset="0"/>
            </a:rPr>
            <a:t>Insert</a:t>
          </a:r>
          <a:endParaRPr lang="en-IE" sz="1200">
            <a:solidFill>
              <a:srgbClr val="217346"/>
            </a:solidFill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7</xdr:col>
      <xdr:colOff>0</xdr:colOff>
      <xdr:row>21</xdr:row>
      <xdr:rowOff>0</xdr:rowOff>
    </xdr:to>
    <xdr:graphicFrame macro="">
      <xdr:nvGraphicFramePr>
        <xdr:cNvPr id="2" name="Pipeline by Stage">
          <a:extLst>
            <a:ext uri="{FF2B5EF4-FFF2-40B4-BE49-F238E27FC236}">
              <a16:creationId xmlns:a16="http://schemas.microsoft.com/office/drawing/2014/main" id="{73E531EA-DC88-309B-8FE9-7DBC1A47E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8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3" name="Closed Won Trend">
          <a:extLst>
            <a:ext uri="{FF2B5EF4-FFF2-40B4-BE49-F238E27FC236}">
              <a16:creationId xmlns:a16="http://schemas.microsoft.com/office/drawing/2014/main" id="{E3E8F819-0869-7E88-E082-9FA27207F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7</xdr:col>
      <xdr:colOff>0</xdr:colOff>
      <xdr:row>37</xdr:row>
      <xdr:rowOff>0</xdr:rowOff>
    </xdr:to>
    <xdr:graphicFrame macro="">
      <xdr:nvGraphicFramePr>
        <xdr:cNvPr id="4" name="Open Pipeline by Owner">
          <a:extLst>
            <a:ext uri="{FF2B5EF4-FFF2-40B4-BE49-F238E27FC236}">
              <a16:creationId xmlns:a16="http://schemas.microsoft.com/office/drawing/2014/main" id="{B0808F21-80B1-CC59-CC57-0A82E1DB09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6" name="Open Pipeline by Product">
          <a:extLst>
            <a:ext uri="{FF2B5EF4-FFF2-40B4-BE49-F238E27FC236}">
              <a16:creationId xmlns:a16="http://schemas.microsoft.com/office/drawing/2014/main" id="{D0C0456F-38D1-6FAF-1F0A-C96DEF6A0F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DCAFFD-B4C3-844F-9CFC-6FD552539973}" name="CRM_Pipeline" displayName="CRM_Pipeline" ref="A1:N61" totalsRowShown="0" headerRowDxfId="1" dataDxfId="0">
  <autoFilter ref="A1:N61" xr:uid="{CFDCAFFD-B4C3-844F-9CFC-6FD552539973}"/>
  <tableColumns count="14">
    <tableColumn id="1" xr3:uid="{CC183EA8-196D-174C-A13B-ECF24892B056}" name="Opportunity ID" dataDxfId="15"/>
    <tableColumn id="2" xr3:uid="{276C3569-244E-2345-AE2B-DEAB62407F83}" name="Account" dataDxfId="14"/>
    <tableColumn id="3" xr3:uid="{8D0AFFA5-AC83-D041-9EDB-0A27BD425A20}" name="Opportunity" dataDxfId="13"/>
    <tableColumn id="4" xr3:uid="{3E22BBD4-3831-B646-9622-77253B11DA21}" name="Owner" dataDxfId="12"/>
    <tableColumn id="5" xr3:uid="{3BD5ABA5-3A0F-5540-A376-D4520D483685}" name="Region" dataDxfId="11"/>
    <tableColumn id="6" xr3:uid="{8902C5A6-93DD-6848-907B-1760A7733286}" name="Product" dataDxfId="10"/>
    <tableColumn id="7" xr3:uid="{E09DDEFB-F0ED-634D-9900-2EBDABB454B0}" name="Stage" dataDxfId="9"/>
    <tableColumn id="8" xr3:uid="{109410FF-942D-2843-A7AD-79620A68A927}" name="Status" dataDxfId="8"/>
    <tableColumn id="9" xr3:uid="{6AD62137-D36C-514C-BD03-829A2EF1983E}" name="Created Date" dataDxfId="7"/>
    <tableColumn id="10" xr3:uid="{7400CDBB-6D0C-C54C-AEA3-DEAFDE49840E}" name="Close Date" dataDxfId="6"/>
    <tableColumn id="11" xr3:uid="{7D09F2AB-D7EE-F147-9656-816BB23AECFF}" name="Amount" dataDxfId="5"/>
    <tableColumn id="12" xr3:uid="{34D8D440-5D35-9D47-8BAD-383136374457}" name="Probability" dataDxfId="4"/>
    <tableColumn id="13" xr3:uid="{E7374860-0372-934F-990F-499F11E2BB09}" name="Weighted Value" dataDxfId="3">
      <calculatedColumnFormula>K2*L2</calculatedColumnFormula>
    </tableColumn>
    <tableColumn id="14" xr3:uid="{D7F09C5A-0DE4-3946-A94A-05B4563BF2AB}" name="Next Ste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31b3c61-2629-4362-b924-1d368679c7a0}">
  <we:reference id="WA200000113" version="1.0.0.0" store="en-001" storeType="OMEX"/>
  <we:alternateReferences/>
  <we:properties>
    <we:property name="Microsoft.Office.CampaignId" value="&quot;non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ages.store.office.com/addinsinstallpage.aspx?rs=en-001&amp;assetid=WA200000113&amp;isWac=True&amp;ui=en-US&amp;ad=US" TargetMode="External"/><Relationship Id="rId1" Type="http://schemas.openxmlformats.org/officeDocument/2006/relationships/hyperlink" Target="https://pages.store.office.com/addinsinstallpage.aspx?rs=en-001&amp;assetid=WA200000113&amp;isWac=True&amp;ui=en-US&amp;ad=US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212FE-84CD-4AB8-94B3-09AE71111CE2}">
  <dimension ref="B3:Z30"/>
  <sheetViews>
    <sheetView showGridLines="0" zoomScaleNormal="100" workbookViewId="0">
      <selection activeCell="B26" sqref="B26:Z26"/>
    </sheetView>
  </sheetViews>
  <sheetFormatPr baseColWidth="10" defaultColWidth="8.83203125" defaultRowHeight="15" x14ac:dyDescent="0.2"/>
  <cols>
    <col min="2" max="2" width="6.5" customWidth="1"/>
  </cols>
  <sheetData>
    <row r="3" spans="2:26" ht="26" x14ac:dyDescent="0.35">
      <c r="C3" s="1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6" spans="2:26" ht="33" x14ac:dyDescent="0.4">
      <c r="B6" s="4" t="s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8" spans="2:26" ht="16" x14ac:dyDescent="0.2">
      <c r="B8" s="2" t="s">
        <v>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10" spans="2:26" ht="16" x14ac:dyDescent="0.2">
      <c r="B10" s="5" t="s">
        <v>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24" spans="2:26" ht="26" x14ac:dyDescent="0.35">
      <c r="B24" s="1" t="s">
        <v>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2:26" ht="16" x14ac:dyDescent="0.2">
      <c r="B25" s="2" t="s">
        <v>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2:26" x14ac:dyDescent="0.2">
      <c r="B26" s="3" t="s">
        <v>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2:26" ht="14.5" customHeight="1" x14ac:dyDescent="0.2"/>
    <row r="29" spans="2:26" ht="26" x14ac:dyDescent="0.35">
      <c r="B29" s="1" t="s">
        <v>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2:26" ht="16" x14ac:dyDescent="0.2">
      <c r="B30" s="2" t="s">
        <v>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</sheetData>
  <mergeCells count="9">
    <mergeCell ref="B29:Z29"/>
    <mergeCell ref="B30:Z30"/>
    <mergeCell ref="B26:Z26"/>
    <mergeCell ref="C3:Z3"/>
    <mergeCell ref="B6:Z6"/>
    <mergeCell ref="B25:Z25"/>
    <mergeCell ref="B8:Z8"/>
    <mergeCell ref="B10:Z10"/>
    <mergeCell ref="B24:Z24"/>
  </mergeCells>
  <hyperlinks>
    <hyperlink ref="B26" r:id="rId1" display="https://store.office.com/destroute?osid=4cbf2581-8b0d-4db5-aae1-5fe71290d889&amp;ai=WA104178141&amp;rs=en-US&amp;ta=HE" xr:uid="{941F4628-FB22-4EB4-B928-BD2469D0B39C}"/>
    <hyperlink ref="B26:Z26" r:id="rId2" display="[InstallationHelpLink]" xr:uid="{E6A9825A-99C1-44FC-8F45-820E60AAAC7C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13CD5-D1B5-FC45-AE3D-FD8246BF8B37}">
  <dimension ref="A1:N45"/>
  <sheetViews>
    <sheetView tabSelected="1" workbookViewId="0">
      <selection sqref="A1:N2"/>
    </sheetView>
  </sheetViews>
  <sheetFormatPr baseColWidth="10" defaultRowHeight="15" x14ac:dyDescent="0.2"/>
  <cols>
    <col min="1" max="14" width="11.6640625" customWidth="1"/>
  </cols>
  <sheetData>
    <row r="1" spans="1:14" ht="28" customHeight="1" x14ac:dyDescent="0.2">
      <c r="A1" s="14" t="s">
        <v>130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28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18" customHeight="1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ht="18" customHeight="1" x14ac:dyDescent="0.2">
      <c r="A4" s="15" t="s">
        <v>131</v>
      </c>
      <c r="B4" s="15"/>
      <c r="C4" s="15"/>
      <c r="D4" s="15" t="s">
        <v>132</v>
      </c>
      <c r="E4" s="15"/>
      <c r="F4" s="15"/>
      <c r="G4" s="15" t="s">
        <v>133</v>
      </c>
      <c r="H4" s="15"/>
      <c r="I4" s="15"/>
      <c r="J4" s="15" t="s">
        <v>134</v>
      </c>
      <c r="K4" s="15"/>
      <c r="L4" s="15"/>
      <c r="M4" s="15" t="s">
        <v>135</v>
      </c>
      <c r="N4" s="15"/>
    </row>
    <row r="5" spans="1:14" ht="28" customHeight="1" x14ac:dyDescent="0.2">
      <c r="A5" s="16">
        <f>SUMIFS(CRM_Pipeline[Amount],CRM_Pipeline[Stage],"Closed Won")</f>
        <v>2212800</v>
      </c>
      <c r="B5" s="16"/>
      <c r="C5" s="16"/>
      <c r="D5" s="16">
        <f>SUMIFS(CRM_Pipeline[Amount],CRM_Pipeline[Status],"Open")</f>
        <v>7787400</v>
      </c>
      <c r="E5" s="16"/>
      <c r="F5" s="16"/>
      <c r="G5" s="16">
        <f>SUMIFS(CRM_Pipeline[Weighted Value],CRM_Pipeline[Status],"Open")</f>
        <v>3082065</v>
      </c>
      <c r="H5" s="16"/>
      <c r="I5" s="16"/>
      <c r="J5" s="17">
        <f>IFERROR(COUNTIF(CRM_Pipeline[Stage],"Closed Won")/(COUNTIF(CRM_Pipeline[Stage],"Closed Won")+COUNTIF(CRM_Pipeline[Stage],"Closed Lost")),0)</f>
        <v>0.57894736842105265</v>
      </c>
      <c r="K5" s="17"/>
      <c r="L5" s="17"/>
      <c r="M5" s="18">
        <f>COUNTIF(CRM_Pipeline[Status],"Open")</f>
        <v>41</v>
      </c>
      <c r="N5" s="18"/>
    </row>
    <row r="6" spans="1:14" ht="28" customHeight="1" x14ac:dyDescent="0.2">
      <c r="A6" s="16"/>
      <c r="B6" s="16"/>
      <c r="C6" s="16"/>
      <c r="D6" s="16"/>
      <c r="E6" s="16"/>
      <c r="F6" s="16"/>
      <c r="G6" s="16"/>
      <c r="H6" s="16"/>
      <c r="I6" s="16"/>
      <c r="J6" s="17"/>
      <c r="K6" s="17"/>
      <c r="L6" s="17"/>
      <c r="M6" s="18"/>
      <c r="N6" s="18"/>
    </row>
    <row r="7" spans="1:14" ht="18" customHeight="1" x14ac:dyDescent="0.2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14" ht="18" customHeight="1" x14ac:dyDescent="0.2">
      <c r="A8" s="19" t="s">
        <v>136</v>
      </c>
      <c r="B8" s="13"/>
      <c r="C8" s="13"/>
      <c r="D8" s="13"/>
      <c r="E8" s="13"/>
      <c r="F8" s="13"/>
      <c r="G8" s="13"/>
      <c r="H8" s="19" t="s">
        <v>137</v>
      </c>
      <c r="I8" s="13"/>
      <c r="J8" s="13"/>
      <c r="K8" s="13"/>
      <c r="L8" s="13"/>
      <c r="M8" s="13"/>
      <c r="N8" s="13"/>
    </row>
    <row r="9" spans="1:14" ht="18" customHeight="1" x14ac:dyDescent="0.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4" ht="18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 ht="18" customHeight="1" x14ac:dyDescent="0.2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18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ht="18" customHeight="1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 ht="18" customHeight="1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 ht="18" customHeight="1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14" ht="18" customHeight="1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 ht="18" customHeight="1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 ht="18" customHeight="1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1:14" ht="18" customHeight="1" x14ac:dyDescent="0.2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ht="18" customHeight="1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4" ht="18" customHeight="1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 ht="18" customHeight="1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 ht="18" customHeight="1" x14ac:dyDescent="0.2">
      <c r="A23" s="19" t="s">
        <v>138</v>
      </c>
      <c r="B23" s="13"/>
      <c r="C23" s="13"/>
      <c r="D23" s="13"/>
      <c r="E23" s="13"/>
      <c r="F23" s="13"/>
      <c r="G23" s="13"/>
      <c r="H23" s="19" t="s">
        <v>139</v>
      </c>
      <c r="I23" s="13"/>
      <c r="J23" s="13"/>
      <c r="K23" s="13"/>
      <c r="L23" s="13"/>
      <c r="M23" s="13"/>
      <c r="N23" s="13"/>
    </row>
    <row r="24" spans="1:14" ht="18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 ht="18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 ht="18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ht="18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 ht="18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1:14" ht="18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4" ht="18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1:14" ht="18" customHeight="1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1:14" ht="18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1:14" ht="18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14" ht="18" customHeight="1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 ht="18" customHeight="1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1:14" ht="18" customHeight="1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 ht="18" customHeight="1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1:14" ht="18" customHeight="1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spans="1:14" ht="18" customHeight="1" x14ac:dyDescent="0.2">
      <c r="A39" s="20" t="s">
        <v>140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</row>
    <row r="40" spans="1:14" ht="24" customHeight="1" x14ac:dyDescent="0.2">
      <c r="A40" s="22" t="s">
        <v>141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spans="1:14" ht="24" customHeight="1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</row>
    <row r="42" spans="1:14" ht="24" customHeight="1" x14ac:dyDescent="0.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</row>
    <row r="43" spans="1:14" ht="24" customHeight="1" x14ac:dyDescent="0.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</row>
    <row r="44" spans="1:14" ht="18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spans="1:14" ht="18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</sheetData>
  <mergeCells count="12">
    <mergeCell ref="A8:G8"/>
    <mergeCell ref="H8:N8"/>
    <mergeCell ref="A23:G23"/>
    <mergeCell ref="H23:N23"/>
    <mergeCell ref="A39:N39"/>
    <mergeCell ref="A40:N43"/>
    <mergeCell ref="A1:N2"/>
    <mergeCell ref="A5:C6"/>
    <mergeCell ref="D5:F6"/>
    <mergeCell ref="G5:I6"/>
    <mergeCell ref="J5:L6"/>
    <mergeCell ref="M5:N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E772-3557-F043-ABD0-B960AEEAA80D}">
  <dimension ref="A1:N6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5.5" bestFit="1" customWidth="1"/>
    <col min="2" max="2" width="21.1640625" bestFit="1" customWidth="1"/>
    <col min="3" max="3" width="30" customWidth="1"/>
    <col min="4" max="4" width="12.6640625" bestFit="1" customWidth="1"/>
    <col min="5" max="5" width="9.33203125" bestFit="1" customWidth="1"/>
    <col min="6" max="6" width="17" bestFit="1" customWidth="1"/>
    <col min="7" max="7" width="11.6640625" bestFit="1" customWidth="1"/>
    <col min="8" max="8" width="9.1640625" bestFit="1" customWidth="1"/>
    <col min="9" max="9" width="14.6640625" bestFit="1" customWidth="1"/>
    <col min="10" max="10" width="12.83203125" bestFit="1" customWidth="1"/>
    <col min="11" max="11" width="10.1640625" bestFit="1" customWidth="1"/>
    <col min="12" max="12" width="12.5" bestFit="1" customWidth="1"/>
    <col min="13" max="13" width="16.5" bestFit="1" customWidth="1"/>
    <col min="14" max="14" width="25" customWidth="1"/>
  </cols>
  <sheetData>
    <row r="1" spans="1:14" x14ac:dyDescent="0.2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</row>
    <row r="2" spans="1:14" x14ac:dyDescent="0.2">
      <c r="A2" s="8" t="s">
        <v>23</v>
      </c>
      <c r="B2" s="8" t="s">
        <v>24</v>
      </c>
      <c r="C2" s="8" t="s">
        <v>25</v>
      </c>
      <c r="D2" s="8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9">
        <v>46024</v>
      </c>
      <c r="J2" s="9">
        <v>46058</v>
      </c>
      <c r="K2" s="10">
        <v>28000</v>
      </c>
      <c r="L2" s="11">
        <v>0.1</v>
      </c>
      <c r="M2" s="10">
        <f>K2*L2</f>
        <v>2800</v>
      </c>
      <c r="N2" s="8" t="s">
        <v>31</v>
      </c>
    </row>
    <row r="3" spans="1:14" x14ac:dyDescent="0.2">
      <c r="A3" s="8" t="s">
        <v>32</v>
      </c>
      <c r="B3" s="8" t="s">
        <v>33</v>
      </c>
      <c r="C3" s="8" t="s">
        <v>34</v>
      </c>
      <c r="D3" s="8" t="s">
        <v>35</v>
      </c>
      <c r="E3" s="8" t="s">
        <v>36</v>
      </c>
      <c r="F3" s="8" t="s">
        <v>37</v>
      </c>
      <c r="G3" s="8" t="s">
        <v>38</v>
      </c>
      <c r="H3" s="8" t="s">
        <v>30</v>
      </c>
      <c r="I3" s="9">
        <v>46058</v>
      </c>
      <c r="J3" s="9">
        <v>46122</v>
      </c>
      <c r="K3" s="10">
        <v>54400</v>
      </c>
      <c r="L3" s="11">
        <v>0.25</v>
      </c>
      <c r="M3" s="10">
        <f t="shared" ref="M3:M61" si="0">K3*L3</f>
        <v>13600</v>
      </c>
      <c r="N3" s="8" t="s">
        <v>39</v>
      </c>
    </row>
    <row r="4" spans="1:14" x14ac:dyDescent="0.2">
      <c r="A4" s="8" t="s">
        <v>40</v>
      </c>
      <c r="B4" s="8" t="s">
        <v>41</v>
      </c>
      <c r="C4" s="8" t="s">
        <v>42</v>
      </c>
      <c r="D4" s="8" t="s">
        <v>43</v>
      </c>
      <c r="E4" s="8" t="s">
        <v>44</v>
      </c>
      <c r="F4" s="8" t="s">
        <v>45</v>
      </c>
      <c r="G4" s="8" t="s">
        <v>46</v>
      </c>
      <c r="H4" s="8" t="s">
        <v>30</v>
      </c>
      <c r="I4" s="9">
        <v>46089</v>
      </c>
      <c r="J4" s="9">
        <v>46188</v>
      </c>
      <c r="K4" s="10">
        <v>80800</v>
      </c>
      <c r="L4" s="11">
        <v>0.5</v>
      </c>
      <c r="M4" s="10">
        <f t="shared" si="0"/>
        <v>40400</v>
      </c>
      <c r="N4" s="8" t="s">
        <v>47</v>
      </c>
    </row>
    <row r="5" spans="1:14" x14ac:dyDescent="0.2">
      <c r="A5" s="8" t="s">
        <v>48</v>
      </c>
      <c r="B5" s="8" t="s">
        <v>49</v>
      </c>
      <c r="C5" s="8" t="s">
        <v>50</v>
      </c>
      <c r="D5" s="8" t="s">
        <v>51</v>
      </c>
      <c r="E5" s="8" t="s">
        <v>52</v>
      </c>
      <c r="F5" s="8" t="s">
        <v>53</v>
      </c>
      <c r="G5" s="8" t="s">
        <v>54</v>
      </c>
      <c r="H5" s="8" t="s">
        <v>30</v>
      </c>
      <c r="I5" s="9">
        <v>46123</v>
      </c>
      <c r="J5" s="9">
        <v>46162</v>
      </c>
      <c r="K5" s="10">
        <v>107200</v>
      </c>
      <c r="L5" s="11">
        <v>0.75</v>
      </c>
      <c r="M5" s="10">
        <f t="shared" si="0"/>
        <v>80400</v>
      </c>
      <c r="N5" s="8" t="s">
        <v>55</v>
      </c>
    </row>
    <row r="6" spans="1:14" x14ac:dyDescent="0.2">
      <c r="A6" s="8" t="s">
        <v>56</v>
      </c>
      <c r="B6" s="8" t="s">
        <v>49</v>
      </c>
      <c r="C6" s="8" t="s">
        <v>25</v>
      </c>
      <c r="D6" s="8" t="s">
        <v>57</v>
      </c>
      <c r="E6" s="8" t="s">
        <v>27</v>
      </c>
      <c r="F6" s="8" t="s">
        <v>28</v>
      </c>
      <c r="G6" s="8" t="s">
        <v>58</v>
      </c>
      <c r="H6" s="8" t="s">
        <v>59</v>
      </c>
      <c r="I6" s="9">
        <v>46156</v>
      </c>
      <c r="J6" s="9">
        <v>46228</v>
      </c>
      <c r="K6" s="10">
        <v>133600</v>
      </c>
      <c r="L6" s="11">
        <v>1</v>
      </c>
      <c r="M6" s="10">
        <f t="shared" si="0"/>
        <v>133600</v>
      </c>
      <c r="N6" s="8" t="s">
        <v>60</v>
      </c>
    </row>
    <row r="7" spans="1:14" x14ac:dyDescent="0.2">
      <c r="A7" s="8" t="s">
        <v>61</v>
      </c>
      <c r="B7" s="8" t="s">
        <v>62</v>
      </c>
      <c r="C7" s="8" t="s">
        <v>34</v>
      </c>
      <c r="D7" s="8" t="s">
        <v>26</v>
      </c>
      <c r="E7" s="8" t="s">
        <v>36</v>
      </c>
      <c r="F7" s="8" t="s">
        <v>37</v>
      </c>
      <c r="G7" s="8" t="s">
        <v>63</v>
      </c>
      <c r="H7" s="8" t="s">
        <v>64</v>
      </c>
      <c r="I7" s="9">
        <v>46190</v>
      </c>
      <c r="J7" s="9">
        <v>46273</v>
      </c>
      <c r="K7" s="10">
        <v>114500</v>
      </c>
      <c r="L7" s="11">
        <v>0</v>
      </c>
      <c r="M7" s="10">
        <f t="shared" si="0"/>
        <v>0</v>
      </c>
      <c r="N7" s="8" t="s">
        <v>65</v>
      </c>
    </row>
    <row r="8" spans="1:14" x14ac:dyDescent="0.2">
      <c r="A8" s="8" t="s">
        <v>66</v>
      </c>
      <c r="B8" s="8" t="s">
        <v>67</v>
      </c>
      <c r="C8" s="8" t="s">
        <v>42</v>
      </c>
      <c r="D8" s="8" t="s">
        <v>35</v>
      </c>
      <c r="E8" s="8" t="s">
        <v>44</v>
      </c>
      <c r="F8" s="8" t="s">
        <v>45</v>
      </c>
      <c r="G8" s="8" t="s">
        <v>29</v>
      </c>
      <c r="H8" s="8" t="s">
        <v>30</v>
      </c>
      <c r="I8" s="9">
        <v>46223</v>
      </c>
      <c r="J8" s="9">
        <v>46247</v>
      </c>
      <c r="K8" s="10">
        <v>140900</v>
      </c>
      <c r="L8" s="11">
        <v>0.1</v>
      </c>
      <c r="M8" s="10">
        <f t="shared" si="0"/>
        <v>14090</v>
      </c>
      <c r="N8" s="8" t="s">
        <v>47</v>
      </c>
    </row>
    <row r="9" spans="1:14" x14ac:dyDescent="0.2">
      <c r="A9" s="8" t="s">
        <v>68</v>
      </c>
      <c r="B9" s="8" t="s">
        <v>69</v>
      </c>
      <c r="C9" s="8" t="s">
        <v>50</v>
      </c>
      <c r="D9" s="8" t="s">
        <v>43</v>
      </c>
      <c r="E9" s="8" t="s">
        <v>52</v>
      </c>
      <c r="F9" s="8" t="s">
        <v>53</v>
      </c>
      <c r="G9" s="8" t="s">
        <v>38</v>
      </c>
      <c r="H9" s="8" t="s">
        <v>30</v>
      </c>
      <c r="I9" s="9">
        <v>46257</v>
      </c>
      <c r="J9" s="9">
        <v>46313</v>
      </c>
      <c r="K9" s="10">
        <v>167300</v>
      </c>
      <c r="L9" s="11">
        <v>0.25</v>
      </c>
      <c r="M9" s="10">
        <f t="shared" si="0"/>
        <v>41825</v>
      </c>
      <c r="N9" s="8" t="s">
        <v>55</v>
      </c>
    </row>
    <row r="10" spans="1:14" x14ac:dyDescent="0.2">
      <c r="A10" s="8" t="s">
        <v>70</v>
      </c>
      <c r="B10" s="8" t="s">
        <v>69</v>
      </c>
      <c r="C10" s="8" t="s">
        <v>25</v>
      </c>
      <c r="D10" s="8" t="s">
        <v>51</v>
      </c>
      <c r="E10" s="8" t="s">
        <v>27</v>
      </c>
      <c r="F10" s="8" t="s">
        <v>28</v>
      </c>
      <c r="G10" s="8" t="s">
        <v>54</v>
      </c>
      <c r="H10" s="8" t="s">
        <v>30</v>
      </c>
      <c r="I10" s="9">
        <v>46267</v>
      </c>
      <c r="J10" s="9">
        <v>46379</v>
      </c>
      <c r="K10" s="10">
        <v>193700</v>
      </c>
      <c r="L10" s="11">
        <v>0.75</v>
      </c>
      <c r="M10" s="10">
        <f t="shared" si="0"/>
        <v>145275</v>
      </c>
      <c r="N10" s="8" t="s">
        <v>31</v>
      </c>
    </row>
    <row r="11" spans="1:14" x14ac:dyDescent="0.2">
      <c r="A11" s="8" t="s">
        <v>71</v>
      </c>
      <c r="B11" s="8" t="s">
        <v>72</v>
      </c>
      <c r="C11" s="8" t="s">
        <v>34</v>
      </c>
      <c r="D11" s="8" t="s">
        <v>57</v>
      </c>
      <c r="E11" s="8" t="s">
        <v>36</v>
      </c>
      <c r="F11" s="8" t="s">
        <v>37</v>
      </c>
      <c r="G11" s="8" t="s">
        <v>58</v>
      </c>
      <c r="H11" s="8" t="s">
        <v>59</v>
      </c>
      <c r="I11" s="9">
        <v>46300</v>
      </c>
      <c r="J11" s="9">
        <v>46332</v>
      </c>
      <c r="K11" s="10">
        <v>220100</v>
      </c>
      <c r="L11" s="11">
        <v>1</v>
      </c>
      <c r="M11" s="10">
        <f t="shared" si="0"/>
        <v>220100</v>
      </c>
      <c r="N11" s="8" t="s">
        <v>60</v>
      </c>
    </row>
    <row r="12" spans="1:14" x14ac:dyDescent="0.2">
      <c r="A12" s="8" t="s">
        <v>73</v>
      </c>
      <c r="B12" s="8" t="s">
        <v>74</v>
      </c>
      <c r="C12" s="8" t="s">
        <v>42</v>
      </c>
      <c r="D12" s="8" t="s">
        <v>26</v>
      </c>
      <c r="E12" s="8" t="s">
        <v>44</v>
      </c>
      <c r="F12" s="8" t="s">
        <v>45</v>
      </c>
      <c r="G12" s="8" t="s">
        <v>63</v>
      </c>
      <c r="H12" s="8" t="s">
        <v>64</v>
      </c>
      <c r="I12" s="9">
        <v>46030</v>
      </c>
      <c r="J12" s="9">
        <v>46092</v>
      </c>
      <c r="K12" s="10">
        <v>201000</v>
      </c>
      <c r="L12" s="11">
        <v>0</v>
      </c>
      <c r="M12" s="10">
        <f t="shared" si="0"/>
        <v>0</v>
      </c>
      <c r="N12" s="8" t="s">
        <v>65</v>
      </c>
    </row>
    <row r="13" spans="1:14" x14ac:dyDescent="0.2">
      <c r="A13" s="8" t="s">
        <v>75</v>
      </c>
      <c r="B13" s="8" t="s">
        <v>76</v>
      </c>
      <c r="C13" s="8" t="s">
        <v>50</v>
      </c>
      <c r="D13" s="8" t="s">
        <v>35</v>
      </c>
      <c r="E13" s="8" t="s">
        <v>52</v>
      </c>
      <c r="F13" s="8" t="s">
        <v>53</v>
      </c>
      <c r="G13" s="8" t="s">
        <v>29</v>
      </c>
      <c r="H13" s="8" t="s">
        <v>30</v>
      </c>
      <c r="I13" s="9">
        <v>46064</v>
      </c>
      <c r="J13" s="9">
        <v>46158</v>
      </c>
      <c r="K13" s="10">
        <v>227400</v>
      </c>
      <c r="L13" s="11">
        <v>0.1</v>
      </c>
      <c r="M13" s="10">
        <f t="shared" si="0"/>
        <v>22740</v>
      </c>
      <c r="N13" s="8" t="s">
        <v>55</v>
      </c>
    </row>
    <row r="14" spans="1:14" x14ac:dyDescent="0.2">
      <c r="A14" s="8" t="s">
        <v>77</v>
      </c>
      <c r="B14" s="8" t="s">
        <v>76</v>
      </c>
      <c r="C14" s="8" t="s">
        <v>25</v>
      </c>
      <c r="D14" s="8" t="s">
        <v>43</v>
      </c>
      <c r="E14" s="8" t="s">
        <v>27</v>
      </c>
      <c r="F14" s="8" t="s">
        <v>28</v>
      </c>
      <c r="G14" s="8" t="s">
        <v>38</v>
      </c>
      <c r="H14" s="8" t="s">
        <v>30</v>
      </c>
      <c r="I14" s="9">
        <v>46095</v>
      </c>
      <c r="J14" s="9">
        <v>46133</v>
      </c>
      <c r="K14" s="10">
        <v>253800</v>
      </c>
      <c r="L14" s="11">
        <v>0.25</v>
      </c>
      <c r="M14" s="10">
        <f t="shared" si="0"/>
        <v>63450</v>
      </c>
      <c r="N14" s="8" t="s">
        <v>31</v>
      </c>
    </row>
    <row r="15" spans="1:14" x14ac:dyDescent="0.2">
      <c r="A15" s="8" t="s">
        <v>78</v>
      </c>
      <c r="B15" s="8" t="s">
        <v>79</v>
      </c>
      <c r="C15" s="8" t="s">
        <v>34</v>
      </c>
      <c r="D15" s="8" t="s">
        <v>51</v>
      </c>
      <c r="E15" s="8" t="s">
        <v>36</v>
      </c>
      <c r="F15" s="8" t="s">
        <v>37</v>
      </c>
      <c r="G15" s="8" t="s">
        <v>46</v>
      </c>
      <c r="H15" s="8" t="s">
        <v>30</v>
      </c>
      <c r="I15" s="9">
        <v>46129</v>
      </c>
      <c r="J15" s="9">
        <v>46199</v>
      </c>
      <c r="K15" s="10">
        <v>280200</v>
      </c>
      <c r="L15" s="11">
        <v>0.5</v>
      </c>
      <c r="M15" s="10">
        <f t="shared" si="0"/>
        <v>140100</v>
      </c>
      <c r="N15" s="8" t="s">
        <v>39</v>
      </c>
    </row>
    <row r="16" spans="1:14" x14ac:dyDescent="0.2">
      <c r="A16" s="8" t="s">
        <v>80</v>
      </c>
      <c r="B16" s="8" t="s">
        <v>81</v>
      </c>
      <c r="C16" s="8" t="s">
        <v>42</v>
      </c>
      <c r="D16" s="8" t="s">
        <v>57</v>
      </c>
      <c r="E16" s="8" t="s">
        <v>44</v>
      </c>
      <c r="F16" s="8" t="s">
        <v>45</v>
      </c>
      <c r="G16" s="8" t="s">
        <v>54</v>
      </c>
      <c r="H16" s="8" t="s">
        <v>30</v>
      </c>
      <c r="I16" s="9">
        <v>46162</v>
      </c>
      <c r="J16" s="9">
        <v>46243</v>
      </c>
      <c r="K16" s="10">
        <v>306600</v>
      </c>
      <c r="L16" s="11">
        <v>0.75</v>
      </c>
      <c r="M16" s="10">
        <f t="shared" si="0"/>
        <v>229950</v>
      </c>
      <c r="N16" s="8" t="s">
        <v>47</v>
      </c>
    </row>
    <row r="17" spans="1:14" x14ac:dyDescent="0.2">
      <c r="A17" s="8" t="s">
        <v>82</v>
      </c>
      <c r="B17" s="8" t="s">
        <v>83</v>
      </c>
      <c r="C17" s="8" t="s">
        <v>50</v>
      </c>
      <c r="D17" s="8" t="s">
        <v>26</v>
      </c>
      <c r="E17" s="8" t="s">
        <v>52</v>
      </c>
      <c r="F17" s="8" t="s">
        <v>53</v>
      </c>
      <c r="G17" s="8" t="s">
        <v>58</v>
      </c>
      <c r="H17" s="8" t="s">
        <v>59</v>
      </c>
      <c r="I17" s="9">
        <v>46196</v>
      </c>
      <c r="J17" s="9">
        <v>46217</v>
      </c>
      <c r="K17" s="10">
        <v>287500</v>
      </c>
      <c r="L17" s="11">
        <v>1</v>
      </c>
      <c r="M17" s="10">
        <f t="shared" si="0"/>
        <v>287500</v>
      </c>
      <c r="N17" s="8" t="s">
        <v>60</v>
      </c>
    </row>
    <row r="18" spans="1:14" x14ac:dyDescent="0.2">
      <c r="A18" s="8" t="s">
        <v>84</v>
      </c>
      <c r="B18" s="8" t="s">
        <v>83</v>
      </c>
      <c r="C18" s="8" t="s">
        <v>25</v>
      </c>
      <c r="D18" s="8" t="s">
        <v>35</v>
      </c>
      <c r="E18" s="8" t="s">
        <v>27</v>
      </c>
      <c r="F18" s="8" t="s">
        <v>28</v>
      </c>
      <c r="G18" s="8" t="s">
        <v>29</v>
      </c>
      <c r="H18" s="8" t="s">
        <v>30</v>
      </c>
      <c r="I18" s="9">
        <v>46205</v>
      </c>
      <c r="J18" s="9">
        <v>46284</v>
      </c>
      <c r="K18" s="10">
        <v>313900</v>
      </c>
      <c r="L18" s="11">
        <v>0.1</v>
      </c>
      <c r="M18" s="10">
        <f t="shared" si="0"/>
        <v>31390</v>
      </c>
      <c r="N18" s="8" t="s">
        <v>31</v>
      </c>
    </row>
    <row r="19" spans="1:14" x14ac:dyDescent="0.2">
      <c r="A19" s="8" t="s">
        <v>85</v>
      </c>
      <c r="B19" s="8" t="s">
        <v>86</v>
      </c>
      <c r="C19" s="8" t="s">
        <v>34</v>
      </c>
      <c r="D19" s="8" t="s">
        <v>43</v>
      </c>
      <c r="E19" s="8" t="s">
        <v>36</v>
      </c>
      <c r="F19" s="8" t="s">
        <v>37</v>
      </c>
      <c r="G19" s="8" t="s">
        <v>38</v>
      </c>
      <c r="H19" s="8" t="s">
        <v>30</v>
      </c>
      <c r="I19" s="9">
        <v>46239</v>
      </c>
      <c r="J19" s="9">
        <v>46350</v>
      </c>
      <c r="K19" s="10">
        <v>340300</v>
      </c>
      <c r="L19" s="11">
        <v>0.25</v>
      </c>
      <c r="M19" s="10">
        <f t="shared" si="0"/>
        <v>85075</v>
      </c>
      <c r="N19" s="8" t="s">
        <v>39</v>
      </c>
    </row>
    <row r="20" spans="1:14" x14ac:dyDescent="0.2">
      <c r="A20" s="8" t="s">
        <v>87</v>
      </c>
      <c r="B20" s="8" t="s">
        <v>88</v>
      </c>
      <c r="C20" s="8" t="s">
        <v>42</v>
      </c>
      <c r="D20" s="8" t="s">
        <v>51</v>
      </c>
      <c r="E20" s="8" t="s">
        <v>44</v>
      </c>
      <c r="F20" s="8" t="s">
        <v>45</v>
      </c>
      <c r="G20" s="8" t="s">
        <v>46</v>
      </c>
      <c r="H20" s="8" t="s">
        <v>30</v>
      </c>
      <c r="I20" s="9">
        <v>46273</v>
      </c>
      <c r="J20" s="9">
        <v>46302</v>
      </c>
      <c r="K20" s="10">
        <v>366700</v>
      </c>
      <c r="L20" s="11">
        <v>0.5</v>
      </c>
      <c r="M20" s="10">
        <f t="shared" si="0"/>
        <v>183350</v>
      </c>
      <c r="N20" s="8" t="s">
        <v>47</v>
      </c>
    </row>
    <row r="21" spans="1:14" x14ac:dyDescent="0.2">
      <c r="A21" s="8" t="s">
        <v>89</v>
      </c>
      <c r="B21" s="8" t="s">
        <v>24</v>
      </c>
      <c r="C21" s="8" t="s">
        <v>50</v>
      </c>
      <c r="D21" s="8" t="s">
        <v>57</v>
      </c>
      <c r="E21" s="8" t="s">
        <v>52</v>
      </c>
      <c r="F21" s="8" t="s">
        <v>53</v>
      </c>
      <c r="G21" s="8" t="s">
        <v>54</v>
      </c>
      <c r="H21" s="8" t="s">
        <v>30</v>
      </c>
      <c r="I21" s="9">
        <v>46306</v>
      </c>
      <c r="J21" s="9">
        <v>46368</v>
      </c>
      <c r="K21" s="10">
        <v>53100</v>
      </c>
      <c r="L21" s="11">
        <v>0.75</v>
      </c>
      <c r="M21" s="10">
        <f t="shared" si="0"/>
        <v>39825</v>
      </c>
      <c r="N21" s="8" t="s">
        <v>55</v>
      </c>
    </row>
    <row r="22" spans="1:14" x14ac:dyDescent="0.2">
      <c r="A22" s="8" t="s">
        <v>90</v>
      </c>
      <c r="B22" s="8" t="s">
        <v>24</v>
      </c>
      <c r="C22" s="8" t="s">
        <v>25</v>
      </c>
      <c r="D22" s="8" t="s">
        <v>26</v>
      </c>
      <c r="E22" s="8" t="s">
        <v>27</v>
      </c>
      <c r="F22" s="8" t="s">
        <v>28</v>
      </c>
      <c r="G22" s="8" t="s">
        <v>58</v>
      </c>
      <c r="H22" s="8" t="s">
        <v>59</v>
      </c>
      <c r="I22" s="9">
        <v>46036</v>
      </c>
      <c r="J22" s="9">
        <v>46129</v>
      </c>
      <c r="K22" s="10">
        <v>34000</v>
      </c>
      <c r="L22" s="11">
        <v>1</v>
      </c>
      <c r="M22" s="10">
        <f t="shared" si="0"/>
        <v>34000</v>
      </c>
      <c r="N22" s="8" t="s">
        <v>60</v>
      </c>
    </row>
    <row r="23" spans="1:14" x14ac:dyDescent="0.2">
      <c r="A23" s="8" t="s">
        <v>91</v>
      </c>
      <c r="B23" s="8" t="s">
        <v>33</v>
      </c>
      <c r="C23" s="8" t="s">
        <v>34</v>
      </c>
      <c r="D23" s="8" t="s">
        <v>35</v>
      </c>
      <c r="E23" s="8" t="s">
        <v>36</v>
      </c>
      <c r="F23" s="8" t="s">
        <v>37</v>
      </c>
      <c r="G23" s="8" t="s">
        <v>63</v>
      </c>
      <c r="H23" s="8" t="s">
        <v>64</v>
      </c>
      <c r="I23" s="9">
        <v>46070</v>
      </c>
      <c r="J23" s="9">
        <v>46103</v>
      </c>
      <c r="K23" s="10">
        <v>60400</v>
      </c>
      <c r="L23" s="11">
        <v>0</v>
      </c>
      <c r="M23" s="10">
        <f t="shared" si="0"/>
        <v>0</v>
      </c>
      <c r="N23" s="8" t="s">
        <v>65</v>
      </c>
    </row>
    <row r="24" spans="1:14" x14ac:dyDescent="0.2">
      <c r="A24" s="8" t="s">
        <v>92</v>
      </c>
      <c r="B24" s="8" t="s">
        <v>41</v>
      </c>
      <c r="C24" s="8" t="s">
        <v>42</v>
      </c>
      <c r="D24" s="8" t="s">
        <v>43</v>
      </c>
      <c r="E24" s="8" t="s">
        <v>44</v>
      </c>
      <c r="F24" s="8" t="s">
        <v>45</v>
      </c>
      <c r="G24" s="8" t="s">
        <v>29</v>
      </c>
      <c r="H24" s="8" t="s">
        <v>30</v>
      </c>
      <c r="I24" s="9">
        <v>46101</v>
      </c>
      <c r="J24" s="9">
        <v>46147</v>
      </c>
      <c r="K24" s="10">
        <v>86800</v>
      </c>
      <c r="L24" s="11">
        <v>0.1</v>
      </c>
      <c r="M24" s="10">
        <f t="shared" si="0"/>
        <v>8680</v>
      </c>
      <c r="N24" s="8" t="s">
        <v>47</v>
      </c>
    </row>
    <row r="25" spans="1:14" x14ac:dyDescent="0.2">
      <c r="A25" s="8" t="s">
        <v>93</v>
      </c>
      <c r="B25" s="8" t="s">
        <v>49</v>
      </c>
      <c r="C25" s="8" t="s">
        <v>50</v>
      </c>
      <c r="D25" s="8" t="s">
        <v>51</v>
      </c>
      <c r="E25" s="8" t="s">
        <v>52</v>
      </c>
      <c r="F25" s="8" t="s">
        <v>53</v>
      </c>
      <c r="G25" s="8" t="s">
        <v>38</v>
      </c>
      <c r="H25" s="8" t="s">
        <v>30</v>
      </c>
      <c r="I25" s="9">
        <v>46135</v>
      </c>
      <c r="J25" s="9">
        <v>46213</v>
      </c>
      <c r="K25" s="10">
        <v>113200</v>
      </c>
      <c r="L25" s="11">
        <v>0.25</v>
      </c>
      <c r="M25" s="10">
        <f t="shared" si="0"/>
        <v>28300</v>
      </c>
      <c r="N25" s="8" t="s">
        <v>55</v>
      </c>
    </row>
    <row r="26" spans="1:14" x14ac:dyDescent="0.2">
      <c r="A26" s="8" t="s">
        <v>94</v>
      </c>
      <c r="B26" s="8" t="s">
        <v>49</v>
      </c>
      <c r="C26" s="8" t="s">
        <v>25</v>
      </c>
      <c r="D26" s="8" t="s">
        <v>57</v>
      </c>
      <c r="E26" s="8" t="s">
        <v>27</v>
      </c>
      <c r="F26" s="8" t="s">
        <v>28</v>
      </c>
      <c r="G26" s="8" t="s">
        <v>54</v>
      </c>
      <c r="H26" s="8" t="s">
        <v>30</v>
      </c>
      <c r="I26" s="9">
        <v>46144</v>
      </c>
      <c r="J26" s="9">
        <v>46188</v>
      </c>
      <c r="K26" s="10">
        <v>139600</v>
      </c>
      <c r="L26" s="11">
        <v>0.75</v>
      </c>
      <c r="M26" s="10">
        <f t="shared" si="0"/>
        <v>104700</v>
      </c>
      <c r="N26" s="8" t="s">
        <v>31</v>
      </c>
    </row>
    <row r="27" spans="1:14" x14ac:dyDescent="0.2">
      <c r="A27" s="8" t="s">
        <v>95</v>
      </c>
      <c r="B27" s="8" t="s">
        <v>62</v>
      </c>
      <c r="C27" s="8" t="s">
        <v>34</v>
      </c>
      <c r="D27" s="8" t="s">
        <v>26</v>
      </c>
      <c r="E27" s="8" t="s">
        <v>36</v>
      </c>
      <c r="F27" s="8" t="s">
        <v>37</v>
      </c>
      <c r="G27" s="8" t="s">
        <v>58</v>
      </c>
      <c r="H27" s="8" t="s">
        <v>59</v>
      </c>
      <c r="I27" s="9">
        <v>46178</v>
      </c>
      <c r="J27" s="9">
        <v>46254</v>
      </c>
      <c r="K27" s="10">
        <v>120500</v>
      </c>
      <c r="L27" s="11">
        <v>1</v>
      </c>
      <c r="M27" s="10">
        <f t="shared" si="0"/>
        <v>120500</v>
      </c>
      <c r="N27" s="8" t="s">
        <v>60</v>
      </c>
    </row>
    <row r="28" spans="1:14" x14ac:dyDescent="0.2">
      <c r="A28" s="8" t="s">
        <v>96</v>
      </c>
      <c r="B28" s="8" t="s">
        <v>67</v>
      </c>
      <c r="C28" s="8" t="s">
        <v>42</v>
      </c>
      <c r="D28" s="8" t="s">
        <v>35</v>
      </c>
      <c r="E28" s="8" t="s">
        <v>44</v>
      </c>
      <c r="F28" s="8" t="s">
        <v>45</v>
      </c>
      <c r="G28" s="8" t="s">
        <v>63</v>
      </c>
      <c r="H28" s="8" t="s">
        <v>64</v>
      </c>
      <c r="I28" s="9">
        <v>46211</v>
      </c>
      <c r="J28" s="9">
        <v>46320</v>
      </c>
      <c r="K28" s="10">
        <v>146900</v>
      </c>
      <c r="L28" s="11">
        <v>0</v>
      </c>
      <c r="M28" s="10">
        <f t="shared" si="0"/>
        <v>0</v>
      </c>
      <c r="N28" s="8" t="s">
        <v>65</v>
      </c>
    </row>
    <row r="29" spans="1:14" x14ac:dyDescent="0.2">
      <c r="A29" s="8" t="s">
        <v>97</v>
      </c>
      <c r="B29" s="8" t="s">
        <v>69</v>
      </c>
      <c r="C29" s="8" t="s">
        <v>50</v>
      </c>
      <c r="D29" s="8" t="s">
        <v>43</v>
      </c>
      <c r="E29" s="8" t="s">
        <v>52</v>
      </c>
      <c r="F29" s="8" t="s">
        <v>53</v>
      </c>
      <c r="G29" s="8" t="s">
        <v>29</v>
      </c>
      <c r="H29" s="8" t="s">
        <v>30</v>
      </c>
      <c r="I29" s="9">
        <v>46245</v>
      </c>
      <c r="J29" s="9">
        <v>46273</v>
      </c>
      <c r="K29" s="10">
        <v>173300</v>
      </c>
      <c r="L29" s="11">
        <v>0.1</v>
      </c>
      <c r="M29" s="10">
        <f t="shared" si="0"/>
        <v>17330</v>
      </c>
      <c r="N29" s="8" t="s">
        <v>55</v>
      </c>
    </row>
    <row r="30" spans="1:14" x14ac:dyDescent="0.2">
      <c r="A30" s="8" t="s">
        <v>98</v>
      </c>
      <c r="B30" s="8" t="s">
        <v>69</v>
      </c>
      <c r="C30" s="8" t="s">
        <v>25</v>
      </c>
      <c r="D30" s="8" t="s">
        <v>51</v>
      </c>
      <c r="E30" s="8" t="s">
        <v>27</v>
      </c>
      <c r="F30" s="8" t="s">
        <v>28</v>
      </c>
      <c r="G30" s="8" t="s">
        <v>38</v>
      </c>
      <c r="H30" s="8" t="s">
        <v>30</v>
      </c>
      <c r="I30" s="9">
        <v>46279</v>
      </c>
      <c r="J30" s="9">
        <v>46339</v>
      </c>
      <c r="K30" s="10">
        <v>199700</v>
      </c>
      <c r="L30" s="11">
        <v>0.25</v>
      </c>
      <c r="M30" s="10">
        <f t="shared" si="0"/>
        <v>49925</v>
      </c>
      <c r="N30" s="8" t="s">
        <v>31</v>
      </c>
    </row>
    <row r="31" spans="1:14" x14ac:dyDescent="0.2">
      <c r="A31" s="8" t="s">
        <v>99</v>
      </c>
      <c r="B31" s="8" t="s">
        <v>72</v>
      </c>
      <c r="C31" s="8" t="s">
        <v>34</v>
      </c>
      <c r="D31" s="8" t="s">
        <v>57</v>
      </c>
      <c r="E31" s="8" t="s">
        <v>36</v>
      </c>
      <c r="F31" s="8" t="s">
        <v>37</v>
      </c>
      <c r="G31" s="8" t="s">
        <v>46</v>
      </c>
      <c r="H31" s="8" t="s">
        <v>30</v>
      </c>
      <c r="I31" s="9">
        <v>46312</v>
      </c>
      <c r="J31" s="9">
        <v>46374</v>
      </c>
      <c r="K31" s="10">
        <v>226100</v>
      </c>
      <c r="L31" s="11">
        <v>0.5</v>
      </c>
      <c r="M31" s="10">
        <f t="shared" si="0"/>
        <v>113050</v>
      </c>
      <c r="N31" s="8" t="s">
        <v>39</v>
      </c>
    </row>
    <row r="32" spans="1:14" x14ac:dyDescent="0.2">
      <c r="A32" s="8" t="s">
        <v>100</v>
      </c>
      <c r="B32" s="8" t="s">
        <v>74</v>
      </c>
      <c r="C32" s="8" t="s">
        <v>42</v>
      </c>
      <c r="D32" s="8" t="s">
        <v>26</v>
      </c>
      <c r="E32" s="8" t="s">
        <v>44</v>
      </c>
      <c r="F32" s="8" t="s">
        <v>45</v>
      </c>
      <c r="G32" s="8" t="s">
        <v>54</v>
      </c>
      <c r="H32" s="8" t="s">
        <v>30</v>
      </c>
      <c r="I32" s="9">
        <v>46042</v>
      </c>
      <c r="J32" s="9">
        <v>46076</v>
      </c>
      <c r="K32" s="10">
        <v>207000</v>
      </c>
      <c r="L32" s="11">
        <v>0.75</v>
      </c>
      <c r="M32" s="10">
        <f t="shared" si="0"/>
        <v>155250</v>
      </c>
      <c r="N32" s="8" t="s">
        <v>47</v>
      </c>
    </row>
    <row r="33" spans="1:14" x14ac:dyDescent="0.2">
      <c r="A33" s="8" t="s">
        <v>101</v>
      </c>
      <c r="B33" s="8" t="s">
        <v>76</v>
      </c>
      <c r="C33" s="8" t="s">
        <v>50</v>
      </c>
      <c r="D33" s="8" t="s">
        <v>35</v>
      </c>
      <c r="E33" s="8" t="s">
        <v>52</v>
      </c>
      <c r="F33" s="8" t="s">
        <v>53</v>
      </c>
      <c r="G33" s="8" t="s">
        <v>58</v>
      </c>
      <c r="H33" s="8" t="s">
        <v>59</v>
      </c>
      <c r="I33" s="9">
        <v>46076</v>
      </c>
      <c r="J33" s="9">
        <v>46118</v>
      </c>
      <c r="K33" s="10">
        <v>233400</v>
      </c>
      <c r="L33" s="11">
        <v>1</v>
      </c>
      <c r="M33" s="10">
        <f t="shared" si="0"/>
        <v>233400</v>
      </c>
      <c r="N33" s="8" t="s">
        <v>60</v>
      </c>
    </row>
    <row r="34" spans="1:14" x14ac:dyDescent="0.2">
      <c r="A34" s="8" t="s">
        <v>102</v>
      </c>
      <c r="B34" s="8" t="s">
        <v>76</v>
      </c>
      <c r="C34" s="8" t="s">
        <v>25</v>
      </c>
      <c r="D34" s="8" t="s">
        <v>43</v>
      </c>
      <c r="E34" s="8" t="s">
        <v>27</v>
      </c>
      <c r="F34" s="8" t="s">
        <v>28</v>
      </c>
      <c r="G34" s="8" t="s">
        <v>29</v>
      </c>
      <c r="H34" s="8" t="s">
        <v>30</v>
      </c>
      <c r="I34" s="9">
        <v>46083</v>
      </c>
      <c r="J34" s="9">
        <v>46184</v>
      </c>
      <c r="K34" s="10">
        <v>259800</v>
      </c>
      <c r="L34" s="11">
        <v>0.1</v>
      </c>
      <c r="M34" s="10">
        <f t="shared" si="0"/>
        <v>25980</v>
      </c>
      <c r="N34" s="8" t="s">
        <v>31</v>
      </c>
    </row>
    <row r="35" spans="1:14" x14ac:dyDescent="0.2">
      <c r="A35" s="8" t="s">
        <v>103</v>
      </c>
      <c r="B35" s="8" t="s">
        <v>79</v>
      </c>
      <c r="C35" s="8" t="s">
        <v>34</v>
      </c>
      <c r="D35" s="8" t="s">
        <v>51</v>
      </c>
      <c r="E35" s="8" t="s">
        <v>36</v>
      </c>
      <c r="F35" s="8" t="s">
        <v>37</v>
      </c>
      <c r="G35" s="8" t="s">
        <v>38</v>
      </c>
      <c r="H35" s="8" t="s">
        <v>30</v>
      </c>
      <c r="I35" s="9">
        <v>46117</v>
      </c>
      <c r="J35" s="9">
        <v>46158</v>
      </c>
      <c r="K35" s="10">
        <v>286200</v>
      </c>
      <c r="L35" s="11">
        <v>0.25</v>
      </c>
      <c r="M35" s="10">
        <f t="shared" si="0"/>
        <v>71550</v>
      </c>
      <c r="N35" s="8" t="s">
        <v>39</v>
      </c>
    </row>
    <row r="36" spans="1:14" x14ac:dyDescent="0.2">
      <c r="A36" s="8" t="s">
        <v>104</v>
      </c>
      <c r="B36" s="8" t="s">
        <v>81</v>
      </c>
      <c r="C36" s="8" t="s">
        <v>42</v>
      </c>
      <c r="D36" s="8" t="s">
        <v>57</v>
      </c>
      <c r="E36" s="8" t="s">
        <v>44</v>
      </c>
      <c r="F36" s="8" t="s">
        <v>45</v>
      </c>
      <c r="G36" s="8" t="s">
        <v>46</v>
      </c>
      <c r="H36" s="8" t="s">
        <v>30</v>
      </c>
      <c r="I36" s="9">
        <v>46150</v>
      </c>
      <c r="J36" s="9">
        <v>46224</v>
      </c>
      <c r="K36" s="10">
        <v>312600</v>
      </c>
      <c r="L36" s="11">
        <v>0.5</v>
      </c>
      <c r="M36" s="10">
        <f t="shared" si="0"/>
        <v>156300</v>
      </c>
      <c r="N36" s="8" t="s">
        <v>47</v>
      </c>
    </row>
    <row r="37" spans="1:14" x14ac:dyDescent="0.2">
      <c r="A37" s="8" t="s">
        <v>105</v>
      </c>
      <c r="B37" s="8" t="s">
        <v>83</v>
      </c>
      <c r="C37" s="8" t="s">
        <v>50</v>
      </c>
      <c r="D37" s="8" t="s">
        <v>26</v>
      </c>
      <c r="E37" s="8" t="s">
        <v>52</v>
      </c>
      <c r="F37" s="8" t="s">
        <v>53</v>
      </c>
      <c r="G37" s="8" t="s">
        <v>54</v>
      </c>
      <c r="H37" s="8" t="s">
        <v>30</v>
      </c>
      <c r="I37" s="9">
        <v>46184</v>
      </c>
      <c r="J37" s="9">
        <v>46291</v>
      </c>
      <c r="K37" s="10">
        <v>293500</v>
      </c>
      <c r="L37" s="11">
        <v>0.75</v>
      </c>
      <c r="M37" s="10">
        <f t="shared" si="0"/>
        <v>220125</v>
      </c>
      <c r="N37" s="8" t="s">
        <v>55</v>
      </c>
    </row>
    <row r="38" spans="1:14" x14ac:dyDescent="0.2">
      <c r="A38" s="8" t="s">
        <v>106</v>
      </c>
      <c r="B38" s="8" t="s">
        <v>83</v>
      </c>
      <c r="C38" s="8" t="s">
        <v>25</v>
      </c>
      <c r="D38" s="8" t="s">
        <v>35</v>
      </c>
      <c r="E38" s="8" t="s">
        <v>27</v>
      </c>
      <c r="F38" s="8" t="s">
        <v>28</v>
      </c>
      <c r="G38" s="8" t="s">
        <v>58</v>
      </c>
      <c r="H38" s="8" t="s">
        <v>59</v>
      </c>
      <c r="I38" s="9">
        <v>46217</v>
      </c>
      <c r="J38" s="9">
        <v>46243</v>
      </c>
      <c r="K38" s="10">
        <v>319900</v>
      </c>
      <c r="L38" s="11">
        <v>1</v>
      </c>
      <c r="M38" s="10">
        <f t="shared" si="0"/>
        <v>319900</v>
      </c>
      <c r="N38" s="8" t="s">
        <v>60</v>
      </c>
    </row>
    <row r="39" spans="1:14" x14ac:dyDescent="0.2">
      <c r="A39" s="8" t="s">
        <v>107</v>
      </c>
      <c r="B39" s="8" t="s">
        <v>86</v>
      </c>
      <c r="C39" s="8" t="s">
        <v>34</v>
      </c>
      <c r="D39" s="8" t="s">
        <v>43</v>
      </c>
      <c r="E39" s="8" t="s">
        <v>36</v>
      </c>
      <c r="F39" s="8" t="s">
        <v>37</v>
      </c>
      <c r="G39" s="8" t="s">
        <v>63</v>
      </c>
      <c r="H39" s="8" t="s">
        <v>64</v>
      </c>
      <c r="I39" s="9">
        <v>46251</v>
      </c>
      <c r="J39" s="9">
        <v>46309</v>
      </c>
      <c r="K39" s="10">
        <v>346300</v>
      </c>
      <c r="L39" s="11">
        <v>0</v>
      </c>
      <c r="M39" s="10">
        <f t="shared" si="0"/>
        <v>0</v>
      </c>
      <c r="N39" s="8" t="s">
        <v>65</v>
      </c>
    </row>
    <row r="40" spans="1:14" x14ac:dyDescent="0.2">
      <c r="A40" s="8" t="s">
        <v>108</v>
      </c>
      <c r="B40" s="8" t="s">
        <v>88</v>
      </c>
      <c r="C40" s="8" t="s">
        <v>42</v>
      </c>
      <c r="D40" s="8" t="s">
        <v>51</v>
      </c>
      <c r="E40" s="8" t="s">
        <v>44</v>
      </c>
      <c r="F40" s="8" t="s">
        <v>45</v>
      </c>
      <c r="G40" s="8" t="s">
        <v>29</v>
      </c>
      <c r="H40" s="8" t="s">
        <v>30</v>
      </c>
      <c r="I40" s="9">
        <v>46285</v>
      </c>
      <c r="J40" s="9">
        <v>46375</v>
      </c>
      <c r="K40" s="10">
        <v>32700</v>
      </c>
      <c r="L40" s="11">
        <v>0.1</v>
      </c>
      <c r="M40" s="10">
        <f t="shared" si="0"/>
        <v>3270</v>
      </c>
      <c r="N40" s="8" t="s">
        <v>47</v>
      </c>
    </row>
    <row r="41" spans="1:14" x14ac:dyDescent="0.2">
      <c r="A41" s="8" t="s">
        <v>109</v>
      </c>
      <c r="B41" s="8" t="s">
        <v>24</v>
      </c>
      <c r="C41" s="8" t="s">
        <v>50</v>
      </c>
      <c r="D41" s="8" t="s">
        <v>57</v>
      </c>
      <c r="E41" s="8" t="s">
        <v>52</v>
      </c>
      <c r="F41" s="8" t="s">
        <v>53</v>
      </c>
      <c r="G41" s="8" t="s">
        <v>38</v>
      </c>
      <c r="H41" s="8" t="s">
        <v>30</v>
      </c>
      <c r="I41" s="9">
        <v>46318</v>
      </c>
      <c r="J41" s="9">
        <v>46350</v>
      </c>
      <c r="K41" s="10">
        <v>59100</v>
      </c>
      <c r="L41" s="11">
        <v>0.25</v>
      </c>
      <c r="M41" s="10">
        <f t="shared" si="0"/>
        <v>14775</v>
      </c>
      <c r="N41" s="8" t="s">
        <v>55</v>
      </c>
    </row>
    <row r="42" spans="1:14" x14ac:dyDescent="0.2">
      <c r="A42" s="8" t="s">
        <v>110</v>
      </c>
      <c r="B42" s="8" t="s">
        <v>24</v>
      </c>
      <c r="C42" s="8" t="s">
        <v>25</v>
      </c>
      <c r="D42" s="8" t="s">
        <v>26</v>
      </c>
      <c r="E42" s="8" t="s">
        <v>27</v>
      </c>
      <c r="F42" s="8" t="s">
        <v>28</v>
      </c>
      <c r="G42" s="8" t="s">
        <v>54</v>
      </c>
      <c r="H42" s="8" t="s">
        <v>30</v>
      </c>
      <c r="I42" s="9">
        <v>46024</v>
      </c>
      <c r="J42" s="9">
        <v>46088</v>
      </c>
      <c r="K42" s="10">
        <v>40000</v>
      </c>
      <c r="L42" s="11">
        <v>0.75</v>
      </c>
      <c r="M42" s="10">
        <f t="shared" si="0"/>
        <v>30000</v>
      </c>
      <c r="N42" s="8" t="s">
        <v>31</v>
      </c>
    </row>
    <row r="43" spans="1:14" x14ac:dyDescent="0.2">
      <c r="A43" s="8" t="s">
        <v>111</v>
      </c>
      <c r="B43" s="8" t="s">
        <v>33</v>
      </c>
      <c r="C43" s="8" t="s">
        <v>34</v>
      </c>
      <c r="D43" s="8" t="s">
        <v>35</v>
      </c>
      <c r="E43" s="8" t="s">
        <v>36</v>
      </c>
      <c r="F43" s="8" t="s">
        <v>37</v>
      </c>
      <c r="G43" s="8" t="s">
        <v>58</v>
      </c>
      <c r="H43" s="8" t="s">
        <v>59</v>
      </c>
      <c r="I43" s="9">
        <v>46058</v>
      </c>
      <c r="J43" s="9">
        <v>46154</v>
      </c>
      <c r="K43" s="10">
        <v>66400</v>
      </c>
      <c r="L43" s="11">
        <v>1</v>
      </c>
      <c r="M43" s="10">
        <f t="shared" si="0"/>
        <v>66400</v>
      </c>
      <c r="N43" s="8" t="s">
        <v>60</v>
      </c>
    </row>
    <row r="44" spans="1:14" x14ac:dyDescent="0.2">
      <c r="A44" s="8" t="s">
        <v>112</v>
      </c>
      <c r="B44" s="8" t="s">
        <v>41</v>
      </c>
      <c r="C44" s="8" t="s">
        <v>42</v>
      </c>
      <c r="D44" s="8" t="s">
        <v>43</v>
      </c>
      <c r="E44" s="8" t="s">
        <v>44</v>
      </c>
      <c r="F44" s="8" t="s">
        <v>45</v>
      </c>
      <c r="G44" s="8" t="s">
        <v>63</v>
      </c>
      <c r="H44" s="8" t="s">
        <v>64</v>
      </c>
      <c r="I44" s="9">
        <v>46089</v>
      </c>
      <c r="J44" s="9">
        <v>46129</v>
      </c>
      <c r="K44" s="10">
        <v>92800</v>
      </c>
      <c r="L44" s="11">
        <v>0</v>
      </c>
      <c r="M44" s="10">
        <f t="shared" si="0"/>
        <v>0</v>
      </c>
      <c r="N44" s="8" t="s">
        <v>65</v>
      </c>
    </row>
    <row r="45" spans="1:14" x14ac:dyDescent="0.2">
      <c r="A45" s="8" t="s">
        <v>113</v>
      </c>
      <c r="B45" s="8" t="s">
        <v>49</v>
      </c>
      <c r="C45" s="8" t="s">
        <v>50</v>
      </c>
      <c r="D45" s="8" t="s">
        <v>51</v>
      </c>
      <c r="E45" s="8" t="s">
        <v>52</v>
      </c>
      <c r="F45" s="8" t="s">
        <v>53</v>
      </c>
      <c r="G45" s="8" t="s">
        <v>29</v>
      </c>
      <c r="H45" s="8" t="s">
        <v>30</v>
      </c>
      <c r="I45" s="9">
        <v>46123</v>
      </c>
      <c r="J45" s="9">
        <v>46195</v>
      </c>
      <c r="K45" s="10">
        <v>119200</v>
      </c>
      <c r="L45" s="11">
        <v>0.1</v>
      </c>
      <c r="M45" s="10">
        <f t="shared" si="0"/>
        <v>11920</v>
      </c>
      <c r="N45" s="8" t="s">
        <v>55</v>
      </c>
    </row>
    <row r="46" spans="1:14" x14ac:dyDescent="0.2">
      <c r="A46" s="8" t="s">
        <v>114</v>
      </c>
      <c r="B46" s="8" t="s">
        <v>49</v>
      </c>
      <c r="C46" s="8" t="s">
        <v>25</v>
      </c>
      <c r="D46" s="8" t="s">
        <v>57</v>
      </c>
      <c r="E46" s="8" t="s">
        <v>27</v>
      </c>
      <c r="F46" s="8" t="s">
        <v>28</v>
      </c>
      <c r="G46" s="8" t="s">
        <v>38</v>
      </c>
      <c r="H46" s="8" t="s">
        <v>30</v>
      </c>
      <c r="I46" s="9">
        <v>46156</v>
      </c>
      <c r="J46" s="9">
        <v>46239</v>
      </c>
      <c r="K46" s="10">
        <v>145600</v>
      </c>
      <c r="L46" s="11">
        <v>0.25</v>
      </c>
      <c r="M46" s="10">
        <f t="shared" si="0"/>
        <v>36400</v>
      </c>
      <c r="N46" s="8" t="s">
        <v>31</v>
      </c>
    </row>
    <row r="47" spans="1:14" x14ac:dyDescent="0.2">
      <c r="A47" s="8" t="s">
        <v>115</v>
      </c>
      <c r="B47" s="8" t="s">
        <v>62</v>
      </c>
      <c r="C47" s="8" t="s">
        <v>34</v>
      </c>
      <c r="D47" s="8" t="s">
        <v>26</v>
      </c>
      <c r="E47" s="8" t="s">
        <v>36</v>
      </c>
      <c r="F47" s="8" t="s">
        <v>37</v>
      </c>
      <c r="G47" s="8" t="s">
        <v>46</v>
      </c>
      <c r="H47" s="8" t="s">
        <v>30</v>
      </c>
      <c r="I47" s="9">
        <v>46190</v>
      </c>
      <c r="J47" s="9">
        <v>46213</v>
      </c>
      <c r="K47" s="10">
        <v>126500</v>
      </c>
      <c r="L47" s="11">
        <v>0.5</v>
      </c>
      <c r="M47" s="10">
        <f t="shared" si="0"/>
        <v>63250</v>
      </c>
      <c r="N47" s="8" t="s">
        <v>39</v>
      </c>
    </row>
    <row r="48" spans="1:14" x14ac:dyDescent="0.2">
      <c r="A48" s="8" t="s">
        <v>116</v>
      </c>
      <c r="B48" s="8" t="s">
        <v>67</v>
      </c>
      <c r="C48" s="8" t="s">
        <v>42</v>
      </c>
      <c r="D48" s="8" t="s">
        <v>35</v>
      </c>
      <c r="E48" s="8" t="s">
        <v>44</v>
      </c>
      <c r="F48" s="8" t="s">
        <v>45</v>
      </c>
      <c r="G48" s="8" t="s">
        <v>54</v>
      </c>
      <c r="H48" s="8" t="s">
        <v>30</v>
      </c>
      <c r="I48" s="9">
        <v>46223</v>
      </c>
      <c r="J48" s="9">
        <v>46280</v>
      </c>
      <c r="K48" s="10">
        <v>152900</v>
      </c>
      <c r="L48" s="11">
        <v>0.75</v>
      </c>
      <c r="M48" s="10">
        <f t="shared" si="0"/>
        <v>114675</v>
      </c>
      <c r="N48" s="8" t="s">
        <v>47</v>
      </c>
    </row>
    <row r="49" spans="1:14" x14ac:dyDescent="0.2">
      <c r="A49" s="8" t="s">
        <v>117</v>
      </c>
      <c r="B49" s="8" t="s">
        <v>69</v>
      </c>
      <c r="C49" s="8" t="s">
        <v>50</v>
      </c>
      <c r="D49" s="8" t="s">
        <v>43</v>
      </c>
      <c r="E49" s="8" t="s">
        <v>52</v>
      </c>
      <c r="F49" s="8" t="s">
        <v>53</v>
      </c>
      <c r="G49" s="8" t="s">
        <v>58</v>
      </c>
      <c r="H49" s="8" t="s">
        <v>59</v>
      </c>
      <c r="I49" s="9">
        <v>46257</v>
      </c>
      <c r="J49" s="9">
        <v>46346</v>
      </c>
      <c r="K49" s="10">
        <v>179300</v>
      </c>
      <c r="L49" s="11">
        <v>1</v>
      </c>
      <c r="M49" s="10">
        <f t="shared" si="0"/>
        <v>179300</v>
      </c>
      <c r="N49" s="8" t="s">
        <v>60</v>
      </c>
    </row>
    <row r="50" spans="1:14" x14ac:dyDescent="0.2">
      <c r="A50" s="8" t="s">
        <v>118</v>
      </c>
      <c r="B50" s="8" t="s">
        <v>69</v>
      </c>
      <c r="C50" s="8" t="s">
        <v>25</v>
      </c>
      <c r="D50" s="8" t="s">
        <v>51</v>
      </c>
      <c r="E50" s="8" t="s">
        <v>27</v>
      </c>
      <c r="F50" s="8" t="s">
        <v>28</v>
      </c>
      <c r="G50" s="8" t="s">
        <v>29</v>
      </c>
      <c r="H50" s="8" t="s">
        <v>30</v>
      </c>
      <c r="I50" s="9">
        <v>46267</v>
      </c>
      <c r="J50" s="9">
        <v>46320</v>
      </c>
      <c r="K50" s="10">
        <v>205700</v>
      </c>
      <c r="L50" s="11">
        <v>0.1</v>
      </c>
      <c r="M50" s="10">
        <f t="shared" si="0"/>
        <v>20570</v>
      </c>
      <c r="N50" s="8" t="s">
        <v>31</v>
      </c>
    </row>
    <row r="51" spans="1:14" x14ac:dyDescent="0.2">
      <c r="A51" s="8" t="s">
        <v>119</v>
      </c>
      <c r="B51" s="8" t="s">
        <v>72</v>
      </c>
      <c r="C51" s="8" t="s">
        <v>34</v>
      </c>
      <c r="D51" s="8" t="s">
        <v>57</v>
      </c>
      <c r="E51" s="8" t="s">
        <v>36</v>
      </c>
      <c r="F51" s="8" t="s">
        <v>37</v>
      </c>
      <c r="G51" s="8" t="s">
        <v>38</v>
      </c>
      <c r="H51" s="8" t="s">
        <v>30</v>
      </c>
      <c r="I51" s="9">
        <v>46300</v>
      </c>
      <c r="J51" s="9">
        <v>46364</v>
      </c>
      <c r="K51" s="10">
        <v>232100</v>
      </c>
      <c r="L51" s="11">
        <v>0.25</v>
      </c>
      <c r="M51" s="10">
        <f t="shared" si="0"/>
        <v>58025</v>
      </c>
      <c r="N51" s="8" t="s">
        <v>39</v>
      </c>
    </row>
    <row r="52" spans="1:14" x14ac:dyDescent="0.2">
      <c r="A52" s="8" t="s">
        <v>120</v>
      </c>
      <c r="B52" s="8" t="s">
        <v>74</v>
      </c>
      <c r="C52" s="8" t="s">
        <v>42</v>
      </c>
      <c r="D52" s="8" t="s">
        <v>26</v>
      </c>
      <c r="E52" s="8" t="s">
        <v>44</v>
      </c>
      <c r="F52" s="8" t="s">
        <v>45</v>
      </c>
      <c r="G52" s="8" t="s">
        <v>46</v>
      </c>
      <c r="H52" s="8" t="s">
        <v>30</v>
      </c>
      <c r="I52" s="9">
        <v>46030</v>
      </c>
      <c r="J52" s="9">
        <v>46125</v>
      </c>
      <c r="K52" s="10">
        <v>213000</v>
      </c>
      <c r="L52" s="11">
        <v>0.5</v>
      </c>
      <c r="M52" s="10">
        <f t="shared" si="0"/>
        <v>106500</v>
      </c>
      <c r="N52" s="8" t="s">
        <v>47</v>
      </c>
    </row>
    <row r="53" spans="1:14" x14ac:dyDescent="0.2">
      <c r="A53" s="8" t="s">
        <v>121</v>
      </c>
      <c r="B53" s="8" t="s">
        <v>76</v>
      </c>
      <c r="C53" s="8" t="s">
        <v>50</v>
      </c>
      <c r="D53" s="8" t="s">
        <v>35</v>
      </c>
      <c r="E53" s="8" t="s">
        <v>52</v>
      </c>
      <c r="F53" s="8" t="s">
        <v>53</v>
      </c>
      <c r="G53" s="8" t="s">
        <v>54</v>
      </c>
      <c r="H53" s="8" t="s">
        <v>30</v>
      </c>
      <c r="I53" s="9">
        <v>46064</v>
      </c>
      <c r="J53" s="9">
        <v>46099</v>
      </c>
      <c r="K53" s="10">
        <v>239400</v>
      </c>
      <c r="L53" s="11">
        <v>0.75</v>
      </c>
      <c r="M53" s="10">
        <f t="shared" si="0"/>
        <v>179550</v>
      </c>
      <c r="N53" s="8" t="s">
        <v>55</v>
      </c>
    </row>
    <row r="54" spans="1:14" x14ac:dyDescent="0.2">
      <c r="A54" s="8" t="s">
        <v>122</v>
      </c>
      <c r="B54" s="8" t="s">
        <v>76</v>
      </c>
      <c r="C54" s="8" t="s">
        <v>25</v>
      </c>
      <c r="D54" s="8" t="s">
        <v>43</v>
      </c>
      <c r="E54" s="8" t="s">
        <v>27</v>
      </c>
      <c r="F54" s="8" t="s">
        <v>28</v>
      </c>
      <c r="G54" s="8" t="s">
        <v>58</v>
      </c>
      <c r="H54" s="8" t="s">
        <v>59</v>
      </c>
      <c r="I54" s="9">
        <v>46095</v>
      </c>
      <c r="J54" s="9">
        <v>46165</v>
      </c>
      <c r="K54" s="10">
        <v>265800</v>
      </c>
      <c r="L54" s="11">
        <v>1</v>
      </c>
      <c r="M54" s="10">
        <f t="shared" si="0"/>
        <v>265800</v>
      </c>
      <c r="N54" s="8" t="s">
        <v>60</v>
      </c>
    </row>
    <row r="55" spans="1:14" x14ac:dyDescent="0.2">
      <c r="A55" s="8" t="s">
        <v>123</v>
      </c>
      <c r="B55" s="8" t="s">
        <v>79</v>
      </c>
      <c r="C55" s="8" t="s">
        <v>34</v>
      </c>
      <c r="D55" s="8" t="s">
        <v>51</v>
      </c>
      <c r="E55" s="8" t="s">
        <v>36</v>
      </c>
      <c r="F55" s="8" t="s">
        <v>37</v>
      </c>
      <c r="G55" s="8" t="s">
        <v>63</v>
      </c>
      <c r="H55" s="8" t="s">
        <v>64</v>
      </c>
      <c r="I55" s="9">
        <v>46129</v>
      </c>
      <c r="J55" s="9">
        <v>46209</v>
      </c>
      <c r="K55" s="10">
        <v>292200</v>
      </c>
      <c r="L55" s="11">
        <v>0</v>
      </c>
      <c r="M55" s="10">
        <f t="shared" si="0"/>
        <v>0</v>
      </c>
      <c r="N55" s="8" t="s">
        <v>65</v>
      </c>
    </row>
    <row r="56" spans="1:14" x14ac:dyDescent="0.2">
      <c r="A56" s="8" t="s">
        <v>124</v>
      </c>
      <c r="B56" s="8" t="s">
        <v>81</v>
      </c>
      <c r="C56" s="8" t="s">
        <v>42</v>
      </c>
      <c r="D56" s="8" t="s">
        <v>57</v>
      </c>
      <c r="E56" s="8" t="s">
        <v>44</v>
      </c>
      <c r="F56" s="8" t="s">
        <v>45</v>
      </c>
      <c r="G56" s="8" t="s">
        <v>29</v>
      </c>
      <c r="H56" s="8" t="s">
        <v>30</v>
      </c>
      <c r="I56" s="9">
        <v>46162</v>
      </c>
      <c r="J56" s="9">
        <v>46184</v>
      </c>
      <c r="K56" s="10">
        <v>318600</v>
      </c>
      <c r="L56" s="11">
        <v>0.1</v>
      </c>
      <c r="M56" s="10">
        <f t="shared" si="0"/>
        <v>31860</v>
      </c>
      <c r="N56" s="8" t="s">
        <v>47</v>
      </c>
    </row>
    <row r="57" spans="1:14" x14ac:dyDescent="0.2">
      <c r="A57" s="8" t="s">
        <v>125</v>
      </c>
      <c r="B57" s="8" t="s">
        <v>83</v>
      </c>
      <c r="C57" s="8" t="s">
        <v>50</v>
      </c>
      <c r="D57" s="8" t="s">
        <v>26</v>
      </c>
      <c r="E57" s="8" t="s">
        <v>52</v>
      </c>
      <c r="F57" s="8" t="s">
        <v>53</v>
      </c>
      <c r="G57" s="8" t="s">
        <v>38</v>
      </c>
      <c r="H57" s="8" t="s">
        <v>30</v>
      </c>
      <c r="I57" s="9">
        <v>46196</v>
      </c>
      <c r="J57" s="9">
        <v>46250</v>
      </c>
      <c r="K57" s="10">
        <v>299500</v>
      </c>
      <c r="L57" s="11">
        <v>0.25</v>
      </c>
      <c r="M57" s="10">
        <f t="shared" si="0"/>
        <v>74875</v>
      </c>
      <c r="N57" s="8" t="s">
        <v>55</v>
      </c>
    </row>
    <row r="58" spans="1:14" x14ac:dyDescent="0.2">
      <c r="A58" s="8" t="s">
        <v>126</v>
      </c>
      <c r="B58" s="8" t="s">
        <v>83</v>
      </c>
      <c r="C58" s="8" t="s">
        <v>25</v>
      </c>
      <c r="D58" s="8" t="s">
        <v>35</v>
      </c>
      <c r="E58" s="8" t="s">
        <v>27</v>
      </c>
      <c r="F58" s="8" t="s">
        <v>28</v>
      </c>
      <c r="G58" s="8" t="s">
        <v>54</v>
      </c>
      <c r="H58" s="8" t="s">
        <v>30</v>
      </c>
      <c r="I58" s="9">
        <v>46205</v>
      </c>
      <c r="J58" s="9">
        <v>46316</v>
      </c>
      <c r="K58" s="10">
        <v>325900</v>
      </c>
      <c r="L58" s="11">
        <v>0.75</v>
      </c>
      <c r="M58" s="10">
        <f t="shared" si="0"/>
        <v>244425</v>
      </c>
      <c r="N58" s="8" t="s">
        <v>31</v>
      </c>
    </row>
    <row r="59" spans="1:14" x14ac:dyDescent="0.2">
      <c r="A59" s="8" t="s">
        <v>127</v>
      </c>
      <c r="B59" s="8" t="s">
        <v>86</v>
      </c>
      <c r="C59" s="8" t="s">
        <v>34</v>
      </c>
      <c r="D59" s="8" t="s">
        <v>43</v>
      </c>
      <c r="E59" s="8" t="s">
        <v>36</v>
      </c>
      <c r="F59" s="8" t="s">
        <v>37</v>
      </c>
      <c r="G59" s="8" t="s">
        <v>58</v>
      </c>
      <c r="H59" s="8" t="s">
        <v>59</v>
      </c>
      <c r="I59" s="9">
        <v>46239</v>
      </c>
      <c r="J59" s="9">
        <v>46291</v>
      </c>
      <c r="K59" s="10">
        <v>352300</v>
      </c>
      <c r="L59" s="11">
        <v>1</v>
      </c>
      <c r="M59" s="10">
        <f t="shared" si="0"/>
        <v>352300</v>
      </c>
      <c r="N59" s="8" t="s">
        <v>60</v>
      </c>
    </row>
    <row r="60" spans="1:14" x14ac:dyDescent="0.2">
      <c r="A60" s="8" t="s">
        <v>128</v>
      </c>
      <c r="B60" s="8" t="s">
        <v>88</v>
      </c>
      <c r="C60" s="8" t="s">
        <v>42</v>
      </c>
      <c r="D60" s="8" t="s">
        <v>51</v>
      </c>
      <c r="E60" s="8" t="s">
        <v>44</v>
      </c>
      <c r="F60" s="8" t="s">
        <v>45</v>
      </c>
      <c r="G60" s="8" t="s">
        <v>63</v>
      </c>
      <c r="H60" s="8" t="s">
        <v>64</v>
      </c>
      <c r="I60" s="9">
        <v>46273</v>
      </c>
      <c r="J60" s="9">
        <v>46335</v>
      </c>
      <c r="K60" s="10">
        <v>38700</v>
      </c>
      <c r="L60" s="11">
        <v>0</v>
      </c>
      <c r="M60" s="10">
        <f t="shared" si="0"/>
        <v>0</v>
      </c>
      <c r="N60" s="8" t="s">
        <v>65</v>
      </c>
    </row>
    <row r="61" spans="1:14" x14ac:dyDescent="0.2">
      <c r="A61" s="8" t="s">
        <v>129</v>
      </c>
      <c r="B61" s="8" t="s">
        <v>24</v>
      </c>
      <c r="C61" s="8" t="s">
        <v>50</v>
      </c>
      <c r="D61" s="8" t="s">
        <v>57</v>
      </c>
      <c r="E61" s="8" t="s">
        <v>52</v>
      </c>
      <c r="F61" s="8" t="s">
        <v>53</v>
      </c>
      <c r="G61" s="8" t="s">
        <v>29</v>
      </c>
      <c r="H61" s="8" t="s">
        <v>30</v>
      </c>
      <c r="I61" s="9">
        <v>46306</v>
      </c>
      <c r="J61" s="9">
        <v>46370</v>
      </c>
      <c r="K61" s="10">
        <v>65100</v>
      </c>
      <c r="L61" s="11">
        <v>0.1</v>
      </c>
      <c r="M61" s="10">
        <f t="shared" si="0"/>
        <v>6510</v>
      </c>
      <c r="N61" s="8" t="s">
        <v>55</v>
      </c>
    </row>
  </sheetData>
  <conditionalFormatting sqref="K2:K6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{FF909DE2-DD96-2C4E-AEB0-3DFAE4047021}</x14:id>
        </ext>
      </extLst>
    </cfRule>
  </conditionalFormatting>
  <conditionalFormatting sqref="L2:L6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{B3736253-BA01-094F-AFCF-FCCA102B3AF8}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909DE2-DD96-2C4E-AEB0-3DFAE4047021}">
            <x14:dataBar minLength="0" maxLength="100" negativeBarColorSameAsPositive="1" axisPosition="none">
              <x14:cfvo type="min"/>
              <x14:cfvo type="max"/>
            </x14:dataBar>
          </x14:cfRule>
          <xm:sqref>K2:K61</xm:sqref>
        </x14:conditionalFormatting>
        <x14:conditionalFormatting xmlns:xm="http://schemas.microsoft.com/office/excel/2006/main">
          <x14:cfRule type="dataBar" id="{B3736253-BA01-094F-AFCF-FCCA102B3AF8}">
            <x14:dataBar minLength="0" maxLength="100" negativeBarColorSameAsPositive="1" axisPosition="none">
              <x14:cfvo type="min"/>
              <x14:cfvo type="max"/>
            </x14:dataBar>
          </x14:cfRule>
          <xm:sqref>L2:L61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5289-AE02-BD4F-A3F4-FC6E69D93ED4}">
  <dimension ref="A1:K13"/>
  <sheetViews>
    <sheetView workbookViewId="0"/>
  </sheetViews>
  <sheetFormatPr baseColWidth="10" defaultRowHeight="15" x14ac:dyDescent="0.2"/>
  <sheetData>
    <row r="1" spans="1:11" x14ac:dyDescent="0.2">
      <c r="A1" t="s">
        <v>15</v>
      </c>
      <c r="B1" t="s">
        <v>142</v>
      </c>
      <c r="D1" t="s">
        <v>143</v>
      </c>
      <c r="E1" t="s">
        <v>144</v>
      </c>
      <c r="G1" t="s">
        <v>12</v>
      </c>
      <c r="H1" t="s">
        <v>145</v>
      </c>
      <c r="J1" t="s">
        <v>14</v>
      </c>
      <c r="K1" t="s">
        <v>145</v>
      </c>
    </row>
    <row r="2" spans="1:11" x14ac:dyDescent="0.2">
      <c r="A2" t="s">
        <v>29</v>
      </c>
      <c r="B2" s="6">
        <f>SUMIF(CRM_Pipeline[Stage],A2,CRM_Pipeline[Amount])</f>
        <v>1971400</v>
      </c>
      <c r="D2" s="23">
        <v>46023</v>
      </c>
      <c r="E2" s="6">
        <f>SUMIFS(CRM_Pipeline[Amount],CRM_Pipeline[Stage],"Closed Won",CRM_Pipeline[Close Date],"&gt;="&amp;D2,CRM_Pipeline[Close Date],"&lt;"&amp;EDATE(D2,1))</f>
        <v>0</v>
      </c>
      <c r="G2" t="s">
        <v>26</v>
      </c>
      <c r="H2" s="6">
        <f>SUMIFS(CRM_Pipeline[Amount],CRM_Pipeline[Owner],G2,CRM_Pipeline[Status],"Open")</f>
        <v>1207500</v>
      </c>
      <c r="J2" t="s">
        <v>28</v>
      </c>
      <c r="K2" s="6">
        <f>SUMIFS(CRM_Pipeline[Amount],CRM_Pipeline[Product],J2,CRM_Pipeline[Status],"Open")</f>
        <v>2105700</v>
      </c>
    </row>
    <row r="3" spans="1:11" x14ac:dyDescent="0.2">
      <c r="A3" t="s">
        <v>38</v>
      </c>
      <c r="B3" s="6">
        <f>SUMIF(CRM_Pipeline[Stage],A3,CRM_Pipeline[Amount])</f>
        <v>2151200</v>
      </c>
      <c r="D3" s="23">
        <v>46054</v>
      </c>
      <c r="E3" s="6">
        <f>SUMIFS(CRM_Pipeline[Amount],CRM_Pipeline[Stage],"Closed Won",CRM_Pipeline[Close Date],"&gt;="&amp;D3,CRM_Pipeline[Close Date],"&lt;"&amp;EDATE(D3,1))</f>
        <v>0</v>
      </c>
      <c r="G3" t="s">
        <v>35</v>
      </c>
      <c r="H3" s="6">
        <f>SUMIFS(CRM_Pipeline[Amount],CRM_Pipeline[Owner],G3,CRM_Pipeline[Status],"Open")</f>
        <v>1454800</v>
      </c>
      <c r="J3" t="s">
        <v>37</v>
      </c>
      <c r="K3" s="6">
        <f>SUMIFS(CRM_Pipeline[Amount],CRM_Pipeline[Product],J3,CRM_Pipeline[Status],"Open")</f>
        <v>1545800</v>
      </c>
    </row>
    <row r="4" spans="1:11" x14ac:dyDescent="0.2">
      <c r="A4" t="s">
        <v>46</v>
      </c>
      <c r="B4" s="6">
        <f>SUMIF(CRM_Pipeline[Stage],A4,CRM_Pipeline[Amount])</f>
        <v>1605900</v>
      </c>
      <c r="D4" s="23">
        <v>46082</v>
      </c>
      <c r="E4" s="6">
        <f>SUMIFS(CRM_Pipeline[Amount],CRM_Pipeline[Stage],"Closed Won",CRM_Pipeline[Close Date],"&gt;="&amp;D4,CRM_Pipeline[Close Date],"&lt;"&amp;EDATE(D4,1))</f>
        <v>0</v>
      </c>
      <c r="G4" t="s">
        <v>43</v>
      </c>
      <c r="H4" s="6">
        <f>SUMIFS(CRM_Pipeline[Amount],CRM_Pipeline[Owner],G4,CRM_Pipeline[Status],"Open")</f>
        <v>1362100</v>
      </c>
      <c r="J4" t="s">
        <v>45</v>
      </c>
      <c r="K4" s="6">
        <f>SUMIFS(CRM_Pipeline[Amount],CRM_Pipeline[Product],J4,CRM_Pipeline[Status],"Open")</f>
        <v>2218600</v>
      </c>
    </row>
    <row r="5" spans="1:11" x14ac:dyDescent="0.2">
      <c r="A5" t="s">
        <v>54</v>
      </c>
      <c r="B5" s="6">
        <f>SUMIF(CRM_Pipeline[Stage],A5,CRM_Pipeline[Amount])</f>
        <v>2058900</v>
      </c>
      <c r="D5" s="23">
        <v>46113</v>
      </c>
      <c r="E5" s="6">
        <f>SUMIFS(CRM_Pipeline[Amount],CRM_Pipeline[Stage],"Closed Won",CRM_Pipeline[Close Date],"&gt;="&amp;D5,CRM_Pipeline[Close Date],"&lt;"&amp;EDATE(D5,1))</f>
        <v>267400</v>
      </c>
      <c r="G5" t="s">
        <v>51</v>
      </c>
      <c r="H5" s="6">
        <f>SUMIFS(CRM_Pipeline[Amount],CRM_Pipeline[Owner],G5,CRM_Pipeline[Status],"Open")</f>
        <v>1904500</v>
      </c>
      <c r="J5" t="s">
        <v>53</v>
      </c>
      <c r="K5" s="6">
        <f>SUMIFS(CRM_Pipeline[Amount],CRM_Pipeline[Product],J5,CRM_Pipeline[Status],"Open")</f>
        <v>1917300</v>
      </c>
    </row>
    <row r="6" spans="1:11" x14ac:dyDescent="0.2">
      <c r="A6" t="s">
        <v>58</v>
      </c>
      <c r="B6" s="6">
        <f>SUMIF(CRM_Pipeline[Stage],A6,CRM_Pipeline[Amount])</f>
        <v>2212800</v>
      </c>
      <c r="D6" s="23">
        <v>46143</v>
      </c>
      <c r="E6" s="6">
        <f>SUMIFS(CRM_Pipeline[Amount],CRM_Pipeline[Stage],"Closed Won",CRM_Pipeline[Close Date],"&gt;="&amp;D6,CRM_Pipeline[Close Date],"&lt;"&amp;EDATE(D6,1))</f>
        <v>332200</v>
      </c>
      <c r="G6" t="s">
        <v>57</v>
      </c>
      <c r="H6" s="6">
        <f>SUMIFS(CRM_Pipeline[Amount],CRM_Pipeline[Owner],G6,CRM_Pipeline[Status],"Open")</f>
        <v>1858500</v>
      </c>
    </row>
    <row r="7" spans="1:11" x14ac:dyDescent="0.2">
      <c r="A7" t="s">
        <v>63</v>
      </c>
      <c r="B7" s="6">
        <f>SUMIF(CRM_Pipeline[Stage],A7,CRM_Pipeline[Amount])</f>
        <v>1292800</v>
      </c>
      <c r="D7" s="23">
        <v>46174</v>
      </c>
      <c r="E7" s="6">
        <f>SUMIFS(CRM_Pipeline[Amount],CRM_Pipeline[Stage],"Closed Won",CRM_Pipeline[Close Date],"&gt;="&amp;D7,CRM_Pipeline[Close Date],"&lt;"&amp;EDATE(D7,1))</f>
        <v>0</v>
      </c>
    </row>
    <row r="8" spans="1:11" x14ac:dyDescent="0.2">
      <c r="D8" s="23">
        <v>46204</v>
      </c>
      <c r="E8" s="6">
        <f>SUMIFS(CRM_Pipeline[Amount],CRM_Pipeline[Stage],"Closed Won",CRM_Pipeline[Close Date],"&gt;="&amp;D8,CRM_Pipeline[Close Date],"&lt;"&amp;EDATE(D8,1))</f>
        <v>421100</v>
      </c>
    </row>
    <row r="9" spans="1:11" x14ac:dyDescent="0.2">
      <c r="D9" s="23">
        <v>46235</v>
      </c>
      <c r="E9" s="6">
        <f>SUMIFS(CRM_Pipeline[Amount],CRM_Pipeline[Stage],"Closed Won",CRM_Pipeline[Close Date],"&gt;="&amp;D9,CRM_Pipeline[Close Date],"&lt;"&amp;EDATE(D9,1))</f>
        <v>440400</v>
      </c>
    </row>
    <row r="10" spans="1:11" x14ac:dyDescent="0.2">
      <c r="D10" s="23">
        <v>46266</v>
      </c>
      <c r="E10" s="6">
        <f>SUMIFS(CRM_Pipeline[Amount],CRM_Pipeline[Stage],"Closed Won",CRM_Pipeline[Close Date],"&gt;="&amp;D10,CRM_Pipeline[Close Date],"&lt;"&amp;EDATE(D10,1))</f>
        <v>352300</v>
      </c>
    </row>
    <row r="11" spans="1:11" x14ac:dyDescent="0.2">
      <c r="D11" s="23">
        <v>46296</v>
      </c>
      <c r="E11" s="6">
        <f>SUMIFS(CRM_Pipeline[Amount],CRM_Pipeline[Stage],"Closed Won",CRM_Pipeline[Close Date],"&gt;="&amp;D11,CRM_Pipeline[Close Date],"&lt;"&amp;EDATE(D11,1))</f>
        <v>0</v>
      </c>
    </row>
    <row r="12" spans="1:11" x14ac:dyDescent="0.2">
      <c r="D12" s="23">
        <v>46327</v>
      </c>
      <c r="E12" s="6">
        <f>SUMIFS(CRM_Pipeline[Amount],CRM_Pipeline[Stage],"Closed Won",CRM_Pipeline[Close Date],"&gt;="&amp;D12,CRM_Pipeline[Close Date],"&lt;"&amp;EDATE(D12,1))</f>
        <v>399400</v>
      </c>
    </row>
    <row r="13" spans="1:11" x14ac:dyDescent="0.2">
      <c r="D13" s="23">
        <v>46357</v>
      </c>
      <c r="E13" s="6">
        <f>SUMIFS(CRM_Pipeline[Amount],CRM_Pipeline[Stage],"Closed Won",CRM_Pipeline[Close Date],"&gt;="&amp;D13,CRM_Pipeline[Close Date],"&lt;"&amp;EDATE(D13,1))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7" ma:contentTypeDescription="Create a new document." ma:contentTypeScope="" ma:versionID="494388dab000d3589ee33216531581af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bac03f58105d2ec42145d3be0283fbe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2:Last_x0020_Modified_x0020_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Last_x0020_Modified_x0020_by" ma:index="22" nillable="true" ma:displayName="Last Modified by" ma:description="Last Modified by" ma:format="Dropdown" ma:list="UserInfo" ma:SharePointGroup="0" ma:internalName="Last_x0020_Modified_x0020_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  <Last_x0020_Modified_x0020_by xmlns="f577acbf-5b0b-4b4f-9948-268e97f8d3a4">
      <UserInfo>
        <DisplayName/>
        <AccountId xsi:nil="true"/>
        <AccountType/>
      </UserInfo>
    </Last_x0020_Modified_x0020_by>
  </documentManagement>
</p:properties>
</file>

<file path=customXml/itemProps1.xml><?xml version="1.0" encoding="utf-8"?>
<ds:datastoreItem xmlns:ds="http://schemas.openxmlformats.org/officeDocument/2006/customXml" ds:itemID="{979B839E-40BB-4CBF-B604-5EBDB3485A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5A0BCA-E00A-4C7B-B7FC-9C99FFE263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9DE369-F82A-4EE5-AC08-C58020205FBA}">
  <ds:schemaRefs>
    <ds:schemaRef ds:uri="b1e4d6ee-9f6f-43f8-a618-24f3d84da28f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f577acbf-5b0b-4b4f-9948-268e97f8d3a4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CRM Dashboard</vt:lpstr>
      <vt:lpstr>CRM Data</vt:lpstr>
      <vt:lpstr>Chart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</dc:creator>
  <cp:keywords/>
  <dc:description/>
  <cp:lastModifiedBy>Kanakasabesan, Kartik</cp:lastModifiedBy>
  <cp:revision/>
  <dcterms:created xsi:type="dcterms:W3CDTF">2026-09-30T04:32:40Z</dcterms:created>
  <dcterms:modified xsi:type="dcterms:W3CDTF">2026-10-18T16:19:51Z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t-dahop@microsoft.com</vt:lpwstr>
  </property>
  <property fmtid="{D5CDD505-2E9C-101B-9397-08002B2CF9AE}" pid="5" name="MSIP_Label_f42aa342-8706-4288-bd11-ebb85995028c_SetDate">
    <vt:lpwstr>2018-07-20T14:24:57.4740234Z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  <property fmtid="{D5CDD505-2E9C-101B-9397-08002B2CF9AE}" pid="10" name="ContentTypeId">
    <vt:lpwstr>0x010100CD401524DC532D42A0E0ED886331A72B</vt:lpwstr>
  </property>
</Properties>
</file>